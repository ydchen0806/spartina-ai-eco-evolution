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yangwang/Duke Bio_Ea Dropbox/Yuyang Wang/Research/MBL 2023 Summer/2025/Data Deposition/Elevation/"/>
    </mc:Choice>
  </mc:AlternateContent>
  <xr:revisionPtr revIDLastSave="0" documentId="13_ncr:1_{0036A70A-D884-FD49-B8D6-B393C0A324E2}" xr6:coauthVersionLast="47" xr6:coauthVersionMax="47" xr10:uidLastSave="{00000000-0000-0000-0000-000000000000}"/>
  <bookViews>
    <workbookView xWindow="0" yWindow="500" windowWidth="30240" windowHeight="18720" xr2:uid="{8D9ABCAD-87FE-794C-A386-B5586EEC7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<sst xmlns="http://schemas.openxmlformats.org/spreadsheetml/2006/main" count="4" uniqueCount="4">
  <si>
    <t>two replicates were randomly chosed from each plot</t>
    <phoneticPr fontId="1" type="noConversion"/>
  </si>
  <si>
    <t>visual extimation %</t>
    <phoneticPr fontId="1" type="noConversion"/>
  </si>
  <si>
    <t>point intercept %</t>
    <phoneticPr fontId="1" type="noConversion"/>
  </si>
  <si>
    <t>measured date: August 1st,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</si>
</sst>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7BD0-588B-5E41-97B8-E9396CB3A3F9}">
  <dimension ref="A1:F27"/>
  <sheetViews>
    <sheetView tabSelected="1" zoomScale="125" workbookViewId="0">
      <selection activeCell="A2" sqref="A2"/>
    </sheetView>
  </sheetViews>
  <sheetFormatPr baseColWidth="10" defaultRowHeight="16" x14ac:dyDescent="0.2"/>
  <cols>
    <col min="1" max="1" width="18" customWidth="1"/>
    <col min="2" max="2" width="18.33203125" customWidth="1"/>
  </cols>
  <sheetData>
    <row r="1" spans="1:6" x14ac:dyDescent="0.2">
      <c r="A1" s="5" t="s">
        <v>3</v>
      </c>
      <c r="B1" s="5"/>
      <c r="C1" s="2" t="s">
        <v>0</v>
      </c>
      <c r="D1" s="1"/>
      <c r="E1" s="1"/>
      <c r="F1" s="1"/>
    </row>
    <row r="3" spans="1:6" x14ac:dyDescent="0.2">
      <c r="A3" s="3" t="s">
        <v>2</v>
      </c>
      <c r="B3" s="3" t="s">
        <v>1</v>
      </c>
    </row>
    <row r="4" spans="1:6" x14ac:dyDescent="0.2">
      <c r="A4" s="4">
        <f>16/25*100</f>
        <v>64</v>
      </c>
      <c r="B4" s="4">
        <v>70</v>
      </c>
    </row>
    <row r="5" spans="1:6" x14ac:dyDescent="0.2">
      <c r="A5" s="4">
        <f>19/25*100</f>
        <v>76</v>
      </c>
      <c r="B5" s="4">
        <v>80</v>
      </c>
    </row>
    <row r="6" spans="1:6" x14ac:dyDescent="0.2">
      <c r="A6" s="4">
        <f>21/25*100</f>
        <v>84</v>
      </c>
      <c r="B6" s="4">
        <v>80</v>
      </c>
    </row>
    <row r="7" spans="1:6" x14ac:dyDescent="0.2">
      <c r="A7" s="4">
        <f>23/25*100</f>
        <v>92</v>
      </c>
      <c r="B7" s="4">
        <v>90</v>
      </c>
    </row>
    <row r="8" spans="1:6" x14ac:dyDescent="0.2">
      <c r="A8" s="4">
        <f>21/25*100</f>
        <v>84</v>
      </c>
      <c r="B8" s="4">
        <v>90</v>
      </c>
    </row>
    <row r="9" spans="1:6" x14ac:dyDescent="0.2">
      <c r="A9" s="4">
        <f>25/25*100</f>
        <v>100</v>
      </c>
      <c r="B9" s="4">
        <v>100</v>
      </c>
    </row>
    <row r="10" spans="1:6" x14ac:dyDescent="0.2">
      <c r="A10" s="4">
        <f>10/25*100</f>
        <v>40</v>
      </c>
      <c r="B10" s="4">
        <v>40</v>
      </c>
    </row>
    <row r="11" spans="1:6" x14ac:dyDescent="0.2">
      <c r="A11" s="4">
        <f>20/25*100</f>
        <v>80</v>
      </c>
      <c r="B11" s="4">
        <v>80</v>
      </c>
    </row>
    <row r="12" spans="1:6" x14ac:dyDescent="0.2">
      <c r="A12" s="4">
        <f>24/25*100</f>
        <v>96</v>
      </c>
      <c r="B12" s="4">
        <v>100</v>
      </c>
    </row>
    <row r="13" spans="1:6" x14ac:dyDescent="0.2">
      <c r="A13" s="4">
        <f>20/25*100</f>
        <v>80</v>
      </c>
      <c r="B13" s="4">
        <v>70</v>
      </c>
    </row>
    <row r="14" spans="1:6" x14ac:dyDescent="0.2">
      <c r="A14" s="4">
        <f>25/25*100</f>
        <v>100</v>
      </c>
      <c r="B14" s="4">
        <v>100</v>
      </c>
    </row>
    <row r="15" spans="1:6" x14ac:dyDescent="0.2">
      <c r="A15" s="4">
        <f>20/25*100</f>
        <v>80</v>
      </c>
      <c r="B15" s="4">
        <v>80</v>
      </c>
    </row>
    <row r="16" spans="1:6" x14ac:dyDescent="0.2">
      <c r="A16" s="4">
        <f>19/25*100</f>
        <v>76</v>
      </c>
      <c r="B16" s="4">
        <v>70</v>
      </c>
    </row>
    <row r="17" spans="1:2" x14ac:dyDescent="0.2">
      <c r="A17" s="4">
        <f>13/25*100</f>
        <v>52</v>
      </c>
      <c r="B17" s="4">
        <v>40</v>
      </c>
    </row>
    <row r="18" spans="1:2" x14ac:dyDescent="0.2">
      <c r="A18" s="4">
        <f>23/25*100</f>
        <v>92</v>
      </c>
      <c r="B18" s="4">
        <v>90</v>
      </c>
    </row>
    <row r="19" spans="1:2" x14ac:dyDescent="0.2">
      <c r="A19" s="4">
        <f>9/25*100</f>
        <v>36</v>
      </c>
      <c r="B19" s="4">
        <v>30</v>
      </c>
    </row>
    <row r="20" spans="1:2" x14ac:dyDescent="0.2">
      <c r="A20" s="4">
        <f>20/25*100</f>
        <v>80</v>
      </c>
      <c r="B20" s="4">
        <v>80</v>
      </c>
    </row>
    <row r="21" spans="1:2" x14ac:dyDescent="0.2">
      <c r="A21" s="4">
        <f>21/25*100</f>
        <v>84</v>
      </c>
      <c r="B21" s="4">
        <v>80</v>
      </c>
    </row>
    <row r="22" spans="1:2" x14ac:dyDescent="0.2">
      <c r="A22" s="4">
        <f>16/25*100</f>
        <v>64</v>
      </c>
      <c r="B22" s="4">
        <v>70</v>
      </c>
    </row>
    <row r="23" spans="1:2" x14ac:dyDescent="0.2">
      <c r="A23" s="4">
        <f>18/25*100</f>
        <v>72</v>
      </c>
      <c r="B23" s="4">
        <v>80</v>
      </c>
    </row>
    <row r="24" spans="1:2" x14ac:dyDescent="0.2">
      <c r="A24" s="4">
        <f>23/25*100</f>
        <v>92</v>
      </c>
      <c r="B24" s="4">
        <v>100</v>
      </c>
    </row>
    <row r="25" spans="1:2" x14ac:dyDescent="0.2">
      <c r="A25" s="4">
        <f>22/25*100</f>
        <v>88</v>
      </c>
      <c r="B25" s="4">
        <v>80</v>
      </c>
    </row>
    <row r="26" spans="1:2" x14ac:dyDescent="0.2">
      <c r="A26" s="4">
        <f>22/25*100</f>
        <v>88</v>
      </c>
      <c r="B26" s="4">
        <v>90</v>
      </c>
    </row>
    <row r="27" spans="1:2" x14ac:dyDescent="0.2">
      <c r="A27" s="4">
        <f>20/25*100</f>
        <v>80</v>
      </c>
      <c r="B27" s="4">
        <v>70</v>
      </c>
    </row>
  </sheetData>
  <mergeCells count="1">
    <mergeCell ref="A1:B1"/>
  </mergeCells>
  <phoneticPr fontId="1" type="noConversion"/>
  <pageMargins left="0.7" right="0.7" top="0.75" bottom="0.75" header="0.3" footer="0.3"/>
  <ignoredErrors>
    <ignoredError sqref="A12 A14 A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宇扬 王</dc:creator>
  <cp:lastModifiedBy>Yuyang Wang</cp:lastModifiedBy>
  <dcterms:created xsi:type="dcterms:W3CDTF">2023-08-02T01:25:39Z</dcterms:created>
  <dcterms:modified xsi:type="dcterms:W3CDTF">2025-09-12T20:22:11Z</dcterms:modified>
</cp:coreProperties>
</file>