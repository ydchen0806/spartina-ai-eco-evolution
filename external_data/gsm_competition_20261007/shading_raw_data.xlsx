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yangwang/Duke Bio_Ea Dropbox/Yuyang Wang/Research/MBL 2023 Summer/2025/Data Deposition/Shading/"/>
    </mc:Choice>
  </mc:AlternateContent>
  <xr:revisionPtr revIDLastSave="0" documentId="13_ncr:1_{607770AF-190A-3D41-ADEA-9B12E0EF9215}" xr6:coauthVersionLast="47" xr6:coauthVersionMax="47" xr10:uidLastSave="{00000000-0000-0000-0000-000000000000}"/>
  <bookViews>
    <workbookView xWindow="0" yWindow="760" windowWidth="30240" windowHeight="17100" activeTab="1" xr2:uid="{3873F07E-EE4E-A747-A526-A7E6ABF244E0}"/>
  </bookViews>
  <sheets>
    <sheet name="calibration" sheetId="3" r:id="rId1"/>
    <sheet name="Jul.20t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5" l="1"/>
  <c r="S16" i="5" s="1"/>
  <c r="D15" i="5"/>
  <c r="D16" i="5" s="1"/>
  <c r="S21" i="5"/>
  <c r="S22" i="5" s="1"/>
  <c r="P21" i="5"/>
  <c r="P22" i="5" s="1"/>
  <c r="M21" i="5"/>
  <c r="M22" i="5" s="1"/>
  <c r="J21" i="5"/>
  <c r="J22" i="5" s="1"/>
  <c r="G21" i="5"/>
  <c r="G22" i="5" s="1"/>
  <c r="D21" i="5"/>
  <c r="D22" i="5" s="1"/>
  <c r="P15" i="5"/>
  <c r="P16" i="5" s="1"/>
  <c r="M15" i="5"/>
  <c r="M16" i="5" s="1"/>
  <c r="J15" i="5"/>
  <c r="J16" i="5" s="1"/>
  <c r="G15" i="5"/>
  <c r="G16" i="5" s="1"/>
</calcChain>
</file>

<file path=xl/sharedStrings.xml><?xml version="1.0" encoding="utf-8"?>
<sst xmlns="http://schemas.openxmlformats.org/spreadsheetml/2006/main" count="27" uniqueCount="19">
  <si>
    <t>average</t>
    <phoneticPr fontId="1" type="noConversion"/>
  </si>
  <si>
    <t>plot1</t>
    <phoneticPr fontId="1" type="noConversion"/>
  </si>
  <si>
    <t>plot2</t>
    <phoneticPr fontId="1" type="noConversion"/>
  </si>
  <si>
    <t>plot4</t>
  </si>
  <si>
    <t>plot5</t>
  </si>
  <si>
    <t>plot6</t>
  </si>
  <si>
    <t>LAI-2000</t>
    <phoneticPr fontId="1" type="noConversion"/>
  </si>
  <si>
    <t>Li-250A</t>
    <phoneticPr fontId="1" type="noConversion"/>
  </si>
  <si>
    <t>waist height, PAR (μmol/m2/s)</t>
    <phoneticPr fontId="1" type="noConversion"/>
  </si>
  <si>
    <t>plot3</t>
    <phoneticPr fontId="1" type="noConversion"/>
  </si>
  <si>
    <t>after calibration</t>
    <phoneticPr fontId="1" type="noConversion"/>
  </si>
  <si>
    <t>Jul.20th, 2023 1:02pm sunny</t>
    <phoneticPr fontId="1" type="noConversion"/>
  </si>
  <si>
    <t>replicates #</t>
    <phoneticPr fontId="1" type="noConversion"/>
  </si>
  <si>
    <t>PAR (μmol/m2/s)</t>
    <phoneticPr fontId="1" type="noConversion"/>
  </si>
  <si>
    <t>LAI-2000 is the one we used in the field, Li-250A is the accurate one we use as reference</t>
    <phoneticPr fontId="1" type="noConversion"/>
  </si>
  <si>
    <t>points #</t>
    <phoneticPr fontId="1" type="noConversion"/>
  </si>
  <si>
    <t>Clipped plots</t>
  </si>
  <si>
    <t>Control plots</t>
  </si>
  <si>
    <t>Irridiance is measures at 9 points for each experiment plot, at 3 points for each checking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</si>
</sst>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164" fontId="2" fillId="0" borderId="0" xfId="0" applyNumberFormat="1" applyFont="1">
      <alignment vertical="center"/>
    </xf>
    <xf numFmtId="0" fontId="2" fillId="0" borderId="18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2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164" fontId="2" fillId="2" borderId="16" xfId="0" applyNumberFormat="1" applyFont="1" applyFill="1" applyBorder="1">
      <alignment vertical="center"/>
    </xf>
    <xf numFmtId="164" fontId="2" fillId="3" borderId="17" xfId="0" applyNumberFormat="1" applyFont="1" applyFill="1" applyBorder="1">
      <alignment vertical="center"/>
    </xf>
    <xf numFmtId="0" fontId="3" fillId="0" borderId="23" xfId="0" applyFont="1" applyBorder="1" applyAlignment="1">
      <alignment horizontal="right" vertical="center"/>
    </xf>
    <xf numFmtId="0" fontId="2" fillId="0" borderId="24" xfId="0" applyFont="1" applyBorder="1">
      <alignment vertical="center"/>
    </xf>
    <xf numFmtId="0" fontId="2" fillId="0" borderId="25" xfId="0" applyFont="1" applyBorder="1">
      <alignment vertical="center"/>
    </xf>
    <xf numFmtId="164" fontId="2" fillId="2" borderId="17" xfId="0" applyNumberFormat="1" applyFont="1" applyFill="1" applyBorder="1">
      <alignment vertical="center"/>
    </xf>
    <xf numFmtId="0" fontId="2" fillId="0" borderId="2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27" xfId="0" applyFont="1" applyBorder="1" applyAlignment="1">
      <alignment horizontal="right"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2" fillId="0" borderId="30" xfId="0" applyFont="1" applyBorder="1">
      <alignment vertical="center"/>
    </xf>
    <xf numFmtId="0" fontId="2" fillId="0" borderId="10" xfId="0" applyFont="1" applyBorder="1">
      <alignment vertic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calibration!$C$2</c:f>
              <c:strCache>
                <c:ptCount val="1"/>
                <c:pt idx="0">
                  <c:v>Li-250A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calibration!$B$3:$B$21</c:f>
              <c:numCache>
                <c:formatCode>General</c:formatCode>
                <c:ptCount val="19"/>
                <c:pt idx="0">
                  <c:v>255.2</c:v>
                </c:pt>
                <c:pt idx="1">
                  <c:v>1175</c:v>
                </c:pt>
                <c:pt idx="2">
                  <c:v>360.5</c:v>
                </c:pt>
                <c:pt idx="3">
                  <c:v>1201</c:v>
                </c:pt>
                <c:pt idx="4">
                  <c:v>13.19</c:v>
                </c:pt>
                <c:pt idx="5">
                  <c:v>162.69999999999999</c:v>
                </c:pt>
                <c:pt idx="6">
                  <c:v>170</c:v>
                </c:pt>
                <c:pt idx="7">
                  <c:v>1221</c:v>
                </c:pt>
                <c:pt idx="8">
                  <c:v>1230</c:v>
                </c:pt>
                <c:pt idx="9">
                  <c:v>1260</c:v>
                </c:pt>
                <c:pt idx="10">
                  <c:v>530.4</c:v>
                </c:pt>
                <c:pt idx="11">
                  <c:v>575.29999999999995</c:v>
                </c:pt>
                <c:pt idx="12">
                  <c:v>668.2</c:v>
                </c:pt>
                <c:pt idx="13">
                  <c:v>673.6</c:v>
                </c:pt>
                <c:pt idx="14">
                  <c:v>749</c:v>
                </c:pt>
                <c:pt idx="15">
                  <c:v>344.8</c:v>
                </c:pt>
                <c:pt idx="16">
                  <c:v>602.1</c:v>
                </c:pt>
                <c:pt idx="17">
                  <c:v>912.2</c:v>
                </c:pt>
                <c:pt idx="18">
                  <c:v>759.1</c:v>
                </c:pt>
              </c:numCache>
            </c:numRef>
          </c:xVal>
          <c:yVal>
            <c:numRef>
              <c:f>calibration!$C$3:$C$21</c:f>
              <c:numCache>
                <c:formatCode>General</c:formatCode>
                <c:ptCount val="19"/>
                <c:pt idx="0">
                  <c:v>285.2</c:v>
                </c:pt>
                <c:pt idx="1">
                  <c:v>1284.0999999999999</c:v>
                </c:pt>
                <c:pt idx="2">
                  <c:v>330.1</c:v>
                </c:pt>
                <c:pt idx="3">
                  <c:v>1315.2</c:v>
                </c:pt>
                <c:pt idx="4">
                  <c:v>14.4</c:v>
                </c:pt>
                <c:pt idx="5">
                  <c:v>184.12</c:v>
                </c:pt>
                <c:pt idx="6">
                  <c:v>190.15</c:v>
                </c:pt>
                <c:pt idx="7">
                  <c:v>1355.5</c:v>
                </c:pt>
                <c:pt idx="8">
                  <c:v>1354.4</c:v>
                </c:pt>
                <c:pt idx="9">
                  <c:v>1384.3</c:v>
                </c:pt>
                <c:pt idx="10">
                  <c:v>570.9</c:v>
                </c:pt>
                <c:pt idx="11">
                  <c:v>620.6</c:v>
                </c:pt>
                <c:pt idx="12">
                  <c:v>735.5</c:v>
                </c:pt>
                <c:pt idx="13">
                  <c:v>717.4</c:v>
                </c:pt>
                <c:pt idx="14">
                  <c:v>810</c:v>
                </c:pt>
                <c:pt idx="15">
                  <c:v>377.5</c:v>
                </c:pt>
                <c:pt idx="16">
                  <c:v>660.3</c:v>
                </c:pt>
                <c:pt idx="17">
                  <c:v>1034.9000000000001</c:v>
                </c:pt>
                <c:pt idx="18">
                  <c:v>861.9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A-CF46-A722-A2886F65A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658608"/>
        <c:axId val="329136080"/>
      </c:scatterChart>
      <c:valAx>
        <c:axId val="31265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/>
                  <a:t>PAR measured by LAI-2000 </a:t>
                </a:r>
                <a:r>
                  <a:rPr lang="el-GR" sz="2000"/>
                  <a:t>(μ</a:t>
                </a:r>
                <a:r>
                  <a:rPr lang="en-US" sz="2000"/>
                  <a:t>mol/m2/s)</a:t>
                </a:r>
                <a:endParaRPr lang="zh-CN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329136080"/>
        <c:crosses val="autoZero"/>
        <c:crossBetween val="midCat"/>
      </c:valAx>
      <c:valAx>
        <c:axId val="329136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/>
                  <a:t>PAR measured by LI-250A</a:t>
                </a:r>
                <a:r>
                  <a:rPr lang="el-GR" sz="2000"/>
                  <a:t>(μ</a:t>
                </a:r>
                <a:r>
                  <a:rPr lang="en-US" sz="2000"/>
                  <a:t>mol/m2/s)</a:t>
                </a:r>
                <a:endParaRPr lang="zh-CN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31265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323849</xdr:colOff>
      <xdr:row>4</xdr:row>
      <xdr:rowOff>185673</xdr:rowOff>
    </xdr:from>
    <xdr:to>
      <xdr:col>16</xdr:col>
      <xdr:colOff>59764</xdr:colOff>
      <xdr:row>26</xdr:row>
      <xdr:rowOff>89647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49DAD5-259C-7949-BCBA-241C4EB14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7F17-E55B-514B-A33B-ABEA3558550E}">
  <dimension ref="A1:D21"/>
  <sheetViews>
    <sheetView workbookViewId="0">
      <selection activeCell="L51" sqref="L51"/>
    </sheetView>
  </sheetViews>
  <sheetFormatPr baseColWidth="10" defaultRowHeight="16" x14ac:dyDescent="0.2"/>
  <cols>
    <col min="1" max="16384" width="10.83203125" style="1"/>
  </cols>
  <sheetData>
    <row r="1" spans="1:4" x14ac:dyDescent="0.2">
      <c r="B1" s="36" t="s">
        <v>13</v>
      </c>
      <c r="D1" s="1" t="s">
        <v>14</v>
      </c>
    </row>
    <row r="2" spans="1:4" x14ac:dyDescent="0.2">
      <c r="A2" s="3" t="s">
        <v>12</v>
      </c>
      <c r="B2" s="3" t="s">
        <v>6</v>
      </c>
      <c r="C2" s="3" t="s">
        <v>7</v>
      </c>
    </row>
    <row r="3" spans="1:4" x14ac:dyDescent="0.2">
      <c r="A3" s="3">
        <v>1</v>
      </c>
      <c r="B3" s="3">
        <v>255.2</v>
      </c>
      <c r="C3" s="3">
        <v>285.2</v>
      </c>
    </row>
    <row r="4" spans="1:4" x14ac:dyDescent="0.2">
      <c r="A4" s="3">
        <v>2</v>
      </c>
      <c r="B4" s="3">
        <v>1175</v>
      </c>
      <c r="C4" s="3">
        <v>1284.0999999999999</v>
      </c>
    </row>
    <row r="5" spans="1:4" x14ac:dyDescent="0.2">
      <c r="A5" s="3">
        <v>3</v>
      </c>
      <c r="B5" s="3">
        <v>360.5</v>
      </c>
      <c r="C5" s="3">
        <v>330.1</v>
      </c>
    </row>
    <row r="6" spans="1:4" x14ac:dyDescent="0.2">
      <c r="A6" s="3">
        <v>4</v>
      </c>
      <c r="B6" s="3">
        <v>1201</v>
      </c>
      <c r="C6" s="3">
        <v>1315.2</v>
      </c>
    </row>
    <row r="7" spans="1:4" x14ac:dyDescent="0.2">
      <c r="A7" s="3">
        <v>5</v>
      </c>
      <c r="B7" s="3">
        <v>13.19</v>
      </c>
      <c r="C7" s="3">
        <v>14.4</v>
      </c>
    </row>
    <row r="8" spans="1:4" x14ac:dyDescent="0.2">
      <c r="A8" s="3">
        <v>6</v>
      </c>
      <c r="B8" s="3">
        <v>162.69999999999999</v>
      </c>
      <c r="C8" s="3">
        <v>184.12</v>
      </c>
    </row>
    <row r="9" spans="1:4" x14ac:dyDescent="0.2">
      <c r="A9" s="3">
        <v>7</v>
      </c>
      <c r="B9" s="3">
        <v>170</v>
      </c>
      <c r="C9" s="3">
        <v>190.15</v>
      </c>
    </row>
    <row r="10" spans="1:4" x14ac:dyDescent="0.2">
      <c r="A10" s="3">
        <v>8</v>
      </c>
      <c r="B10" s="3">
        <v>1221</v>
      </c>
      <c r="C10" s="3">
        <v>1355.5</v>
      </c>
    </row>
    <row r="11" spans="1:4" x14ac:dyDescent="0.2">
      <c r="A11" s="3">
        <v>9</v>
      </c>
      <c r="B11" s="3">
        <v>1230</v>
      </c>
      <c r="C11" s="3">
        <v>1354.4</v>
      </c>
    </row>
    <row r="12" spans="1:4" x14ac:dyDescent="0.2">
      <c r="A12" s="3">
        <v>10</v>
      </c>
      <c r="B12" s="3">
        <v>1260</v>
      </c>
      <c r="C12" s="3">
        <v>1384.3</v>
      </c>
    </row>
    <row r="13" spans="1:4" x14ac:dyDescent="0.2">
      <c r="A13" s="3">
        <v>11</v>
      </c>
      <c r="B13" s="3">
        <v>530.4</v>
      </c>
      <c r="C13" s="3">
        <v>570.9</v>
      </c>
    </row>
    <row r="14" spans="1:4" x14ac:dyDescent="0.2">
      <c r="A14" s="3">
        <v>12</v>
      </c>
      <c r="B14" s="3">
        <v>575.29999999999995</v>
      </c>
      <c r="C14" s="3">
        <v>620.6</v>
      </c>
    </row>
    <row r="15" spans="1:4" x14ac:dyDescent="0.2">
      <c r="A15" s="3">
        <v>13</v>
      </c>
      <c r="B15" s="3">
        <v>668.2</v>
      </c>
      <c r="C15" s="3">
        <v>735.5</v>
      </c>
    </row>
    <row r="16" spans="1:4" x14ac:dyDescent="0.2">
      <c r="A16" s="3">
        <v>14</v>
      </c>
      <c r="B16" s="3">
        <v>673.6</v>
      </c>
      <c r="C16" s="3">
        <v>717.4</v>
      </c>
    </row>
    <row r="17" spans="1:3" x14ac:dyDescent="0.2">
      <c r="A17" s="3">
        <v>15</v>
      </c>
      <c r="B17" s="3">
        <v>749</v>
      </c>
      <c r="C17" s="3">
        <v>810</v>
      </c>
    </row>
    <row r="18" spans="1:3" x14ac:dyDescent="0.2">
      <c r="A18" s="3">
        <v>16</v>
      </c>
      <c r="B18" s="3">
        <v>344.8</v>
      </c>
      <c r="C18" s="3">
        <v>377.5</v>
      </c>
    </row>
    <row r="19" spans="1:3" x14ac:dyDescent="0.2">
      <c r="A19" s="3">
        <v>17</v>
      </c>
      <c r="B19" s="3">
        <v>602.1</v>
      </c>
      <c r="C19" s="3">
        <v>660.3</v>
      </c>
    </row>
    <row r="20" spans="1:3" x14ac:dyDescent="0.2">
      <c r="A20" s="3">
        <v>18</v>
      </c>
      <c r="B20" s="3">
        <v>912.2</v>
      </c>
      <c r="C20" s="3">
        <v>1034.9000000000001</v>
      </c>
    </row>
    <row r="21" spans="1:3" x14ac:dyDescent="0.2">
      <c r="A21" s="3">
        <v>19</v>
      </c>
      <c r="B21" s="3">
        <v>759.1</v>
      </c>
      <c r="C21" s="3">
        <v>861.9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BFE2-7551-BA41-9584-08D4BDFB6E6E}">
  <dimension ref="A1:T57"/>
  <sheetViews>
    <sheetView tabSelected="1" workbookViewId="0">
      <selection activeCell="F29" sqref="F29"/>
    </sheetView>
  </sheetViews>
  <sheetFormatPr baseColWidth="10" defaultRowHeight="16" x14ac:dyDescent="0.2"/>
  <sheetData>
    <row r="1" spans="1:20" x14ac:dyDescent="0.2">
      <c r="A1" s="39" t="s">
        <v>11</v>
      </c>
      <c r="B1" s="39"/>
      <c r="C1" s="39"/>
      <c r="D1" s="1"/>
      <c r="E1" s="9"/>
      <c r="F1" s="2" t="s">
        <v>16</v>
      </c>
      <c r="G1" s="1"/>
      <c r="H1" s="37" t="s">
        <v>18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7" thickBot="1" x14ac:dyDescent="0.25">
      <c r="A2" s="39" t="s">
        <v>8</v>
      </c>
      <c r="B2" s="39"/>
      <c r="C2" s="39"/>
      <c r="D2" s="1"/>
      <c r="E2" s="8"/>
      <c r="F2" s="2" t="s">
        <v>17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29"/>
      <c r="B3" s="51" t="s">
        <v>1</v>
      </c>
      <c r="C3" s="52"/>
      <c r="D3" s="53"/>
      <c r="E3" s="43" t="s">
        <v>2</v>
      </c>
      <c r="F3" s="44"/>
      <c r="G3" s="45"/>
      <c r="H3" s="40" t="s">
        <v>9</v>
      </c>
      <c r="I3" s="41"/>
      <c r="J3" s="42"/>
      <c r="K3" s="43" t="s">
        <v>3</v>
      </c>
      <c r="L3" s="44"/>
      <c r="M3" s="45"/>
      <c r="N3" s="40" t="s">
        <v>4</v>
      </c>
      <c r="O3" s="41"/>
      <c r="P3" s="42"/>
      <c r="Q3" s="43" t="s">
        <v>5</v>
      </c>
      <c r="R3" s="44"/>
      <c r="S3" s="45"/>
    </row>
    <row r="4" spans="1:20" x14ac:dyDescent="0.2">
      <c r="A4" s="49" t="s">
        <v>15</v>
      </c>
      <c r="B4" s="46" t="s">
        <v>12</v>
      </c>
      <c r="C4" s="47"/>
      <c r="D4" s="48"/>
      <c r="E4" s="46" t="s">
        <v>12</v>
      </c>
      <c r="F4" s="47"/>
      <c r="G4" s="48"/>
      <c r="H4" s="46" t="s">
        <v>12</v>
      </c>
      <c r="I4" s="47"/>
      <c r="J4" s="48"/>
      <c r="K4" s="46" t="s">
        <v>12</v>
      </c>
      <c r="L4" s="47"/>
      <c r="M4" s="48"/>
      <c r="N4" s="46" t="s">
        <v>12</v>
      </c>
      <c r="O4" s="47"/>
      <c r="P4" s="48"/>
      <c r="Q4" s="46" t="s">
        <v>12</v>
      </c>
      <c r="R4" s="47"/>
      <c r="S4" s="48"/>
    </row>
    <row r="5" spans="1:20" ht="17" thickBot="1" x14ac:dyDescent="0.25">
      <c r="A5" s="50"/>
      <c r="B5" s="32">
        <v>1</v>
      </c>
      <c r="C5" s="33">
        <v>2</v>
      </c>
      <c r="D5" s="33">
        <v>3</v>
      </c>
      <c r="E5" s="32">
        <v>1</v>
      </c>
      <c r="F5" s="33">
        <v>2</v>
      </c>
      <c r="G5" s="34">
        <v>3</v>
      </c>
      <c r="H5" s="32">
        <v>1</v>
      </c>
      <c r="I5" s="33">
        <v>2</v>
      </c>
      <c r="J5" s="34">
        <v>3</v>
      </c>
      <c r="K5" s="32">
        <v>1</v>
      </c>
      <c r="L5" s="33">
        <v>2</v>
      </c>
      <c r="M5" s="34">
        <v>3</v>
      </c>
      <c r="N5" s="32">
        <v>1</v>
      </c>
      <c r="O5" s="33">
        <v>2</v>
      </c>
      <c r="P5" s="34">
        <v>3</v>
      </c>
      <c r="Q5" s="32">
        <v>1</v>
      </c>
      <c r="R5" s="33">
        <v>2</v>
      </c>
      <c r="S5" s="34">
        <v>3</v>
      </c>
    </row>
    <row r="6" spans="1:20" x14ac:dyDescent="0.2">
      <c r="A6" s="30">
        <v>1</v>
      </c>
      <c r="B6" s="14">
        <v>1670</v>
      </c>
      <c r="C6" s="15">
        <v>1570</v>
      </c>
      <c r="D6" s="15">
        <v>1591</v>
      </c>
      <c r="E6" s="14">
        <v>1209</v>
      </c>
      <c r="F6" s="15">
        <v>155</v>
      </c>
      <c r="G6" s="16">
        <v>471.8</v>
      </c>
      <c r="H6" s="14">
        <v>1628</v>
      </c>
      <c r="I6" s="15">
        <v>1574</v>
      </c>
      <c r="J6" s="16">
        <v>1511</v>
      </c>
      <c r="K6" s="14">
        <v>180.2</v>
      </c>
      <c r="L6" s="15">
        <v>296.3</v>
      </c>
      <c r="M6" s="16">
        <v>236</v>
      </c>
      <c r="N6" s="14">
        <v>1535</v>
      </c>
      <c r="O6" s="15">
        <v>1509</v>
      </c>
      <c r="P6" s="16">
        <v>1498</v>
      </c>
      <c r="Q6" s="14">
        <v>610.4</v>
      </c>
      <c r="R6" s="15">
        <v>408.9</v>
      </c>
      <c r="S6" s="16">
        <v>72.400000000000006</v>
      </c>
    </row>
    <row r="7" spans="1:20" x14ac:dyDescent="0.2">
      <c r="A7" s="30">
        <v>2</v>
      </c>
      <c r="B7" s="4">
        <v>1654</v>
      </c>
      <c r="C7" s="3">
        <v>1411</v>
      </c>
      <c r="D7" s="3">
        <v>1598</v>
      </c>
      <c r="E7" s="4">
        <v>140</v>
      </c>
      <c r="F7" s="1">
        <v>362.2</v>
      </c>
      <c r="G7" s="5">
        <v>140.80000000000001</v>
      </c>
      <c r="H7" s="4">
        <v>1597</v>
      </c>
      <c r="I7" s="3">
        <v>1477</v>
      </c>
      <c r="J7" s="5">
        <v>1633</v>
      </c>
      <c r="K7" s="4">
        <v>494.4</v>
      </c>
      <c r="L7" s="3">
        <v>128.19999999999999</v>
      </c>
      <c r="M7" s="5">
        <v>220.2</v>
      </c>
      <c r="N7" s="4">
        <v>1580</v>
      </c>
      <c r="O7" s="3">
        <v>1440</v>
      </c>
      <c r="P7" s="5">
        <v>1545</v>
      </c>
      <c r="Q7" s="4">
        <v>134</v>
      </c>
      <c r="R7" s="3">
        <v>60.71</v>
      </c>
      <c r="S7" s="5">
        <v>607.70000000000005</v>
      </c>
    </row>
    <row r="8" spans="1:20" x14ac:dyDescent="0.2">
      <c r="A8" s="30">
        <v>3</v>
      </c>
      <c r="B8" s="4">
        <v>1653</v>
      </c>
      <c r="C8" s="3">
        <v>1452</v>
      </c>
      <c r="D8" s="3">
        <v>1584</v>
      </c>
      <c r="E8" s="4">
        <v>175.6</v>
      </c>
      <c r="F8" s="3">
        <v>160.80000000000001</v>
      </c>
      <c r="G8" s="5">
        <v>494.4</v>
      </c>
      <c r="H8" s="4">
        <v>1573</v>
      </c>
      <c r="I8" s="3">
        <v>1532</v>
      </c>
      <c r="J8" s="5">
        <v>1522</v>
      </c>
      <c r="K8" s="4">
        <v>635.20000000000005</v>
      </c>
      <c r="L8" s="3">
        <v>192.9</v>
      </c>
      <c r="M8" s="5">
        <v>644.6</v>
      </c>
      <c r="N8" s="4">
        <v>1496</v>
      </c>
      <c r="O8" s="3">
        <v>1586</v>
      </c>
      <c r="P8" s="5">
        <v>1583</v>
      </c>
      <c r="Q8" s="4">
        <v>55.36</v>
      </c>
      <c r="R8" s="3">
        <v>77.55</v>
      </c>
      <c r="S8" s="5">
        <v>80.650000000000006</v>
      </c>
    </row>
    <row r="9" spans="1:20" x14ac:dyDescent="0.2">
      <c r="A9" s="30">
        <v>4</v>
      </c>
      <c r="B9" s="4">
        <v>1650</v>
      </c>
      <c r="C9" s="3">
        <v>1602</v>
      </c>
      <c r="D9" s="3">
        <v>1625</v>
      </c>
      <c r="E9" s="4">
        <v>203.4</v>
      </c>
      <c r="F9" s="3">
        <v>193.3</v>
      </c>
      <c r="G9" s="5">
        <v>476.7</v>
      </c>
      <c r="H9" s="4">
        <v>1625</v>
      </c>
      <c r="I9" s="3">
        <v>1454</v>
      </c>
      <c r="J9" s="5">
        <v>1508</v>
      </c>
      <c r="K9" s="4">
        <v>157.9</v>
      </c>
      <c r="L9" s="3">
        <v>408.7</v>
      </c>
      <c r="M9" s="5">
        <v>180</v>
      </c>
      <c r="N9" s="4">
        <v>1573</v>
      </c>
      <c r="O9" s="3">
        <v>1616</v>
      </c>
      <c r="P9" s="5">
        <v>1577</v>
      </c>
      <c r="Q9" s="4">
        <v>162</v>
      </c>
      <c r="R9" s="3">
        <v>70.88</v>
      </c>
      <c r="S9" s="5">
        <v>241.3</v>
      </c>
    </row>
    <row r="10" spans="1:20" x14ac:dyDescent="0.2">
      <c r="A10" s="30">
        <v>5</v>
      </c>
      <c r="B10" s="4">
        <v>1665</v>
      </c>
      <c r="C10" s="3">
        <v>1620</v>
      </c>
      <c r="D10" s="3">
        <v>1542</v>
      </c>
      <c r="E10" s="4">
        <v>109.2</v>
      </c>
      <c r="F10" s="3">
        <v>157.4</v>
      </c>
      <c r="G10" s="5">
        <v>493.5</v>
      </c>
      <c r="H10" s="4">
        <v>1598</v>
      </c>
      <c r="I10" s="3">
        <v>1529</v>
      </c>
      <c r="J10" s="5">
        <v>1534</v>
      </c>
      <c r="K10" s="4">
        <v>92.59</v>
      </c>
      <c r="L10" s="3">
        <v>191.4</v>
      </c>
      <c r="M10" s="5">
        <v>115.7</v>
      </c>
      <c r="N10" s="4">
        <v>1505</v>
      </c>
      <c r="O10" s="3">
        <v>1534</v>
      </c>
      <c r="P10" s="5">
        <v>1592</v>
      </c>
      <c r="Q10" s="4">
        <v>52.89</v>
      </c>
      <c r="R10" s="3">
        <v>47.43</v>
      </c>
      <c r="S10" s="5">
        <v>45.47</v>
      </c>
    </row>
    <row r="11" spans="1:20" x14ac:dyDescent="0.2">
      <c r="A11" s="30">
        <v>6</v>
      </c>
      <c r="B11" s="4">
        <v>1639</v>
      </c>
      <c r="C11" s="3">
        <v>1612</v>
      </c>
      <c r="D11" s="3">
        <v>1540</v>
      </c>
      <c r="E11" s="4">
        <v>420</v>
      </c>
      <c r="F11" s="3">
        <v>159.69999999999999</v>
      </c>
      <c r="G11" s="5">
        <v>450.9</v>
      </c>
      <c r="H11" s="4">
        <v>1513</v>
      </c>
      <c r="I11" s="3">
        <v>1579</v>
      </c>
      <c r="J11" s="5">
        <v>1584</v>
      </c>
      <c r="K11" s="4">
        <v>343.7</v>
      </c>
      <c r="L11" s="3">
        <v>548.4</v>
      </c>
      <c r="M11" s="5">
        <v>448.7</v>
      </c>
      <c r="N11" s="4">
        <v>1549</v>
      </c>
      <c r="O11" s="35">
        <v>1606</v>
      </c>
      <c r="P11" s="5">
        <v>1584</v>
      </c>
      <c r="Q11" s="4">
        <v>42.73</v>
      </c>
      <c r="R11" s="3">
        <v>47.9</v>
      </c>
      <c r="S11" s="5">
        <v>50.55</v>
      </c>
    </row>
    <row r="12" spans="1:20" x14ac:dyDescent="0.2">
      <c r="A12" s="30">
        <v>7</v>
      </c>
      <c r="B12" s="4">
        <v>1664</v>
      </c>
      <c r="C12" s="3">
        <v>1598</v>
      </c>
      <c r="D12" s="3">
        <v>1623</v>
      </c>
      <c r="E12" s="4">
        <v>340.9</v>
      </c>
      <c r="F12" s="3">
        <v>236.9</v>
      </c>
      <c r="G12" s="5">
        <v>169.3</v>
      </c>
      <c r="H12" s="4">
        <v>1651</v>
      </c>
      <c r="I12" s="3">
        <v>1520</v>
      </c>
      <c r="J12" s="5">
        <v>1580</v>
      </c>
      <c r="K12" s="4">
        <v>494.4</v>
      </c>
      <c r="L12" s="3">
        <v>202.1</v>
      </c>
      <c r="M12" s="5">
        <v>494.3</v>
      </c>
      <c r="N12" s="4">
        <v>1576</v>
      </c>
      <c r="O12" s="3">
        <v>1594</v>
      </c>
      <c r="P12" s="5">
        <v>1461</v>
      </c>
      <c r="Q12" s="4">
        <v>52.61</v>
      </c>
      <c r="R12" s="3">
        <v>665.7</v>
      </c>
      <c r="S12" s="5">
        <v>60.05</v>
      </c>
    </row>
    <row r="13" spans="1:20" x14ac:dyDescent="0.2">
      <c r="A13" s="30">
        <v>8</v>
      </c>
      <c r="B13" s="4">
        <v>1633</v>
      </c>
      <c r="C13" s="3">
        <v>1464</v>
      </c>
      <c r="D13" s="3">
        <v>1411</v>
      </c>
      <c r="E13" s="4">
        <v>404.4</v>
      </c>
      <c r="F13" s="3">
        <v>946.6</v>
      </c>
      <c r="G13" s="5">
        <v>1252</v>
      </c>
      <c r="H13" s="4">
        <v>1535</v>
      </c>
      <c r="I13" s="3">
        <v>1449</v>
      </c>
      <c r="J13" s="5">
        <v>1558</v>
      </c>
      <c r="K13" s="4">
        <v>75.62</v>
      </c>
      <c r="L13" s="3">
        <v>75.739999999999995</v>
      </c>
      <c r="M13" s="5">
        <v>313.60000000000002</v>
      </c>
      <c r="N13" s="4">
        <v>1515</v>
      </c>
      <c r="O13" s="3">
        <v>1543</v>
      </c>
      <c r="P13" s="5">
        <v>1545</v>
      </c>
      <c r="Q13" s="4">
        <v>17.399999999999999</v>
      </c>
      <c r="R13" s="3">
        <v>93.39</v>
      </c>
      <c r="S13" s="5">
        <v>57.05</v>
      </c>
    </row>
    <row r="14" spans="1:20" x14ac:dyDescent="0.2">
      <c r="A14" s="30">
        <v>9</v>
      </c>
      <c r="B14" s="4">
        <v>1592</v>
      </c>
      <c r="C14" s="3">
        <v>1596</v>
      </c>
      <c r="D14" s="3">
        <v>1544</v>
      </c>
      <c r="E14" s="4">
        <v>278.7</v>
      </c>
      <c r="F14" s="3">
        <v>189.1</v>
      </c>
      <c r="G14" s="5">
        <v>655.6</v>
      </c>
      <c r="H14" s="4">
        <v>1555</v>
      </c>
      <c r="I14" s="3">
        <v>1453</v>
      </c>
      <c r="J14" s="5">
        <v>1518</v>
      </c>
      <c r="K14" s="4">
        <v>74.94</v>
      </c>
      <c r="L14" s="3">
        <v>186.5</v>
      </c>
      <c r="M14" s="5">
        <v>299.60000000000002</v>
      </c>
      <c r="N14" s="4">
        <v>1529</v>
      </c>
      <c r="O14" s="3">
        <v>1542</v>
      </c>
      <c r="P14" s="5">
        <v>1559</v>
      </c>
      <c r="Q14" s="4">
        <v>49.39</v>
      </c>
      <c r="R14" s="3">
        <v>37.28</v>
      </c>
      <c r="S14" s="5">
        <v>202.3</v>
      </c>
    </row>
    <row r="15" spans="1:20" ht="17" thickBot="1" x14ac:dyDescent="0.25">
      <c r="A15" s="31" t="s">
        <v>0</v>
      </c>
      <c r="B15" s="6"/>
      <c r="C15" s="7"/>
      <c r="D15" s="23">
        <f>AVERAGE(B6:D14)</f>
        <v>1585.2962962962963</v>
      </c>
      <c r="E15" s="6"/>
      <c r="F15" s="7"/>
      <c r="G15" s="24">
        <f>AVERAGE(E6:G14)</f>
        <v>386.93333333333334</v>
      </c>
      <c r="H15" s="6"/>
      <c r="I15" s="7"/>
      <c r="J15" s="28">
        <f>AVERAGE(H6:J14)</f>
        <v>1547.7777777777778</v>
      </c>
      <c r="K15" s="6"/>
      <c r="L15" s="7"/>
      <c r="M15" s="24">
        <f>AVERAGE(K6:M14)</f>
        <v>286.3662962962963</v>
      </c>
      <c r="N15" s="6"/>
      <c r="O15" s="7"/>
      <c r="P15" s="28">
        <f>AVERAGE(N6:P14)</f>
        <v>1547.1111111111111</v>
      </c>
      <c r="Q15" s="6"/>
      <c r="R15" s="7"/>
      <c r="S15" s="24">
        <f>AVERAGE(Q6:S14)</f>
        <v>151.99962962962965</v>
      </c>
    </row>
    <row r="16" spans="1:20" x14ac:dyDescent="0.2">
      <c r="A16" s="2" t="s">
        <v>10</v>
      </c>
      <c r="B16" s="1"/>
      <c r="C16" s="1"/>
      <c r="D16" s="10">
        <f>D15*1.1092-9.5228</f>
        <v>1748.8878518518518</v>
      </c>
      <c r="E16" s="10"/>
      <c r="F16" s="10"/>
      <c r="G16" s="10">
        <f>G15*1.1092-9.5228</f>
        <v>419.66365333333329</v>
      </c>
      <c r="H16" s="10"/>
      <c r="I16" s="10"/>
      <c r="J16" s="10">
        <f>J15*1.1092-9.5228</f>
        <v>1707.2723111111111</v>
      </c>
      <c r="K16" s="10"/>
      <c r="L16" s="10"/>
      <c r="M16" s="10">
        <f>M15*1.1092-9.5228</f>
        <v>308.11469585185182</v>
      </c>
      <c r="N16" s="10"/>
      <c r="O16" s="10"/>
      <c r="P16" s="10">
        <f>P15*1.1092-9.5228</f>
        <v>1706.5328444444444</v>
      </c>
      <c r="R16" s="10"/>
      <c r="S16" s="10">
        <f>S15*1.1092-9.5228</f>
        <v>159.07518918518522</v>
      </c>
    </row>
    <row r="17" spans="1:19" ht="17" thickBot="1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1"/>
      <c r="S17" s="1"/>
    </row>
    <row r="18" spans="1:19" x14ac:dyDescent="0.2">
      <c r="A18" s="17">
        <v>1</v>
      </c>
      <c r="B18" s="18">
        <v>1655</v>
      </c>
      <c r="C18" s="19">
        <v>1680</v>
      </c>
      <c r="D18" s="19">
        <v>1666</v>
      </c>
      <c r="E18" s="18">
        <v>1384</v>
      </c>
      <c r="F18" s="19">
        <v>1492</v>
      </c>
      <c r="G18" s="20">
        <v>1519</v>
      </c>
      <c r="H18" s="18">
        <v>1566</v>
      </c>
      <c r="I18" s="19">
        <v>1550</v>
      </c>
      <c r="J18" s="20">
        <v>1514</v>
      </c>
      <c r="K18" s="18">
        <v>1441</v>
      </c>
      <c r="L18" s="19">
        <v>1478</v>
      </c>
      <c r="M18" s="20">
        <v>1464</v>
      </c>
      <c r="N18" s="18">
        <v>1618</v>
      </c>
      <c r="O18" s="19">
        <v>1537</v>
      </c>
      <c r="P18" s="20">
        <v>1483</v>
      </c>
      <c r="Q18" s="26">
        <v>377.8</v>
      </c>
      <c r="R18" s="19">
        <v>173.2</v>
      </c>
      <c r="S18" s="20">
        <v>77.83</v>
      </c>
    </row>
    <row r="19" spans="1:19" x14ac:dyDescent="0.2">
      <c r="A19" s="21">
        <v>2</v>
      </c>
      <c r="B19" s="4">
        <v>1672</v>
      </c>
      <c r="C19" s="3">
        <v>1641</v>
      </c>
      <c r="D19" s="3">
        <v>1653</v>
      </c>
      <c r="E19" s="4">
        <v>1453</v>
      </c>
      <c r="F19" s="3">
        <v>1572</v>
      </c>
      <c r="G19" s="5">
        <v>1577</v>
      </c>
      <c r="H19" s="4">
        <v>1524</v>
      </c>
      <c r="I19" s="3">
        <v>1546</v>
      </c>
      <c r="J19" s="5">
        <v>1580</v>
      </c>
      <c r="K19" s="4">
        <v>1485</v>
      </c>
      <c r="L19" s="3">
        <v>1458</v>
      </c>
      <c r="M19" s="5">
        <v>1460</v>
      </c>
      <c r="N19" s="4">
        <v>1581</v>
      </c>
      <c r="O19" s="3">
        <v>1530</v>
      </c>
      <c r="P19" s="5">
        <v>1574</v>
      </c>
      <c r="Q19" s="10">
        <v>440.1</v>
      </c>
      <c r="R19" s="3">
        <v>155.6</v>
      </c>
      <c r="S19" s="5">
        <v>1048</v>
      </c>
    </row>
    <row r="20" spans="1:19" x14ac:dyDescent="0.2">
      <c r="A20" s="22">
        <v>3</v>
      </c>
      <c r="B20" s="11">
        <v>1429</v>
      </c>
      <c r="C20" s="12">
        <v>1661</v>
      </c>
      <c r="D20" s="12">
        <v>1415</v>
      </c>
      <c r="E20" s="11">
        <v>1621</v>
      </c>
      <c r="F20" s="12">
        <v>1572</v>
      </c>
      <c r="G20" s="13">
        <v>1584</v>
      </c>
      <c r="H20" s="11">
        <v>1527</v>
      </c>
      <c r="I20" s="12">
        <v>1559</v>
      </c>
      <c r="J20" s="13">
        <v>1572</v>
      </c>
      <c r="K20" s="11">
        <v>1454</v>
      </c>
      <c r="L20" s="12">
        <v>1524</v>
      </c>
      <c r="M20" s="13">
        <v>1485</v>
      </c>
      <c r="N20" s="11">
        <v>1452</v>
      </c>
      <c r="O20" s="12">
        <v>1404</v>
      </c>
      <c r="P20" s="13">
        <v>1494</v>
      </c>
      <c r="Q20" s="1">
        <v>1339</v>
      </c>
      <c r="R20" s="12">
        <v>638.79999999999995</v>
      </c>
      <c r="S20" s="13">
        <v>595.29999999999995</v>
      </c>
    </row>
    <row r="21" spans="1:19" ht="17" thickBot="1" x14ac:dyDescent="0.25">
      <c r="A21" s="25" t="s">
        <v>0</v>
      </c>
      <c r="B21" s="6"/>
      <c r="C21" s="7"/>
      <c r="D21" s="23">
        <f>AVERAGE(B18:D20)</f>
        <v>1608</v>
      </c>
      <c r="E21" s="6"/>
      <c r="F21" s="7"/>
      <c r="G21" s="24">
        <f>AVERAGE(E18:G20)</f>
        <v>1530.4444444444443</v>
      </c>
      <c r="H21" s="6"/>
      <c r="I21" s="7"/>
      <c r="J21" s="28">
        <f>AVERAGE(H18:J20)</f>
        <v>1548.6666666666667</v>
      </c>
      <c r="K21" s="6"/>
      <c r="L21" s="7"/>
      <c r="M21" s="24">
        <f>AVERAGE(K18:M20)</f>
        <v>1472.1111111111111</v>
      </c>
      <c r="N21" s="6"/>
      <c r="O21" s="7"/>
      <c r="P21" s="28">
        <f>AVERAGE(N18:P20)</f>
        <v>1519.2222222222222</v>
      </c>
      <c r="Q21" s="27"/>
      <c r="R21" s="7"/>
      <c r="S21" s="24">
        <f>AVERAGE(Q18:S20)</f>
        <v>538.40333333333331</v>
      </c>
    </row>
    <row r="22" spans="1:19" x14ac:dyDescent="0.2">
      <c r="A22" s="2" t="s">
        <v>10</v>
      </c>
      <c r="B22" s="1"/>
      <c r="C22" s="1"/>
      <c r="D22" s="10">
        <f>D21*1.1092-9.5228</f>
        <v>1774.0708</v>
      </c>
      <c r="E22" s="10"/>
      <c r="F22" s="10"/>
      <c r="G22" s="10">
        <f>G21*1.1092-9.5228</f>
        <v>1688.0461777777778</v>
      </c>
      <c r="H22" s="10"/>
      <c r="I22" s="10"/>
      <c r="J22" s="10">
        <f>J21*1.1092-9.5228</f>
        <v>1708.2582666666667</v>
      </c>
      <c r="K22" s="10"/>
      <c r="L22" s="10"/>
      <c r="M22" s="10">
        <f>M21*1.1092-9.5228</f>
        <v>1623.3428444444444</v>
      </c>
      <c r="N22" s="10"/>
      <c r="O22" s="10"/>
      <c r="P22" s="10">
        <f>P21*1.1092-9.5228</f>
        <v>1675.5984888888888</v>
      </c>
      <c r="Q22" s="10"/>
      <c r="R22" s="10"/>
      <c r="S22" s="10">
        <f>S21*1.1092-9.5228</f>
        <v>587.67417733333332</v>
      </c>
    </row>
    <row r="24" spans="1:19" x14ac:dyDescent="0.2">
      <c r="C24" s="54"/>
      <c r="D24" s="55"/>
    </row>
    <row r="25" spans="1:19" x14ac:dyDescent="0.2">
      <c r="C25" s="54"/>
      <c r="D25" s="55"/>
    </row>
    <row r="53" spans="3:6" x14ac:dyDescent="0.2">
      <c r="E53" s="38"/>
      <c r="F53" s="38"/>
    </row>
    <row r="54" spans="3:6" x14ac:dyDescent="0.2">
      <c r="E54" s="38"/>
      <c r="F54" s="38"/>
    </row>
    <row r="55" spans="3:6" x14ac:dyDescent="0.2">
      <c r="F55" s="38"/>
    </row>
    <row r="56" spans="3:6" x14ac:dyDescent="0.2">
      <c r="C56" s="38"/>
      <c r="D56" s="38"/>
      <c r="F56" s="38"/>
    </row>
    <row r="57" spans="3:6" x14ac:dyDescent="0.2">
      <c r="C57" s="38"/>
      <c r="D57" s="38"/>
      <c r="F57" s="38"/>
    </row>
  </sheetData>
  <mergeCells count="15">
    <mergeCell ref="N4:P4"/>
    <mergeCell ref="Q4:S4"/>
    <mergeCell ref="A4:A5"/>
    <mergeCell ref="B4:D4"/>
    <mergeCell ref="E4:G4"/>
    <mergeCell ref="H4:J4"/>
    <mergeCell ref="K4:M4"/>
    <mergeCell ref="N3:P3"/>
    <mergeCell ref="Q3:S3"/>
    <mergeCell ref="B3:D3"/>
    <mergeCell ref="A1:C1"/>
    <mergeCell ref="A2:C2"/>
    <mergeCell ref="E3:G3"/>
    <mergeCell ref="H3:J3"/>
    <mergeCell ref="K3:M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</vt:lpstr>
      <vt:lpstr>Jul.20th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宇扬 王</dc:creator>
  <cp:lastModifiedBy>Yuyang Wang</cp:lastModifiedBy>
  <dcterms:created xsi:type="dcterms:W3CDTF">2023-07-01T15:00:47Z</dcterms:created>
  <dcterms:modified xsi:type="dcterms:W3CDTF">2025-09-12T20:42:52Z</dcterms:modified>
</cp:coreProperties>
</file>