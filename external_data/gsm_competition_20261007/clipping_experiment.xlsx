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angwang/Duke Bio_Ea Dropbox/Yuyang Wang/Research/MBL 2023 Summer/2025/Data Deposition/"/>
    </mc:Choice>
  </mc:AlternateContent>
  <xr:revisionPtr revIDLastSave="0" documentId="13_ncr:1_{8F122358-9000-AA46-B8EE-3B9181C95F86}" xr6:coauthVersionLast="47" xr6:coauthVersionMax="47" xr10:uidLastSave="{00000000-0000-0000-0000-000000000000}"/>
  <bookViews>
    <workbookView xWindow="0" yWindow="0" windowWidth="33600" windowHeight="21000" activeTab="1" xr2:uid="{2ABB9B89-220D-494D-ABFA-06DF7F10F312}"/>
  </bookViews>
  <sheets>
    <sheet name="S.alt % cover in 2023" sheetId="3" r:id="rId1"/>
    <sheet name="multi-yr summary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3" l="1"/>
  <c r="F10" i="23"/>
  <c r="E9" i="23"/>
  <c r="F9" i="23"/>
  <c r="E8" i="23"/>
  <c r="C10" i="23"/>
  <c r="C9" i="23"/>
  <c r="C8" i="23"/>
  <c r="AQ16" i="3"/>
  <c r="AQ18" i="3" s="1"/>
  <c r="AP16" i="3"/>
  <c r="AO16" i="3"/>
  <c r="AO18" i="3" s="1"/>
  <c r="AN16" i="3"/>
  <c r="AQ15" i="3"/>
  <c r="AQ17" i="3" s="1"/>
  <c r="AP15" i="3"/>
  <c r="AO15" i="3"/>
  <c r="AO17" i="3" s="1"/>
  <c r="AN15" i="3"/>
  <c r="AJ16" i="3"/>
  <c r="AM16" i="3"/>
  <c r="AM18" i="3" s="1"/>
  <c r="AL16" i="3"/>
  <c r="AM15" i="3"/>
  <c r="AM17" i="3" s="1"/>
  <c r="AL15" i="3"/>
  <c r="AK15" i="3"/>
  <c r="AK17" i="3" s="1"/>
  <c r="AJ15" i="3"/>
  <c r="AI16" i="3"/>
  <c r="AI18" i="3" s="1"/>
  <c r="AH16" i="3"/>
  <c r="AG16" i="3"/>
  <c r="AG18" i="3" s="1"/>
  <c r="AF16" i="3"/>
  <c r="AI15" i="3"/>
  <c r="AI17" i="3" s="1"/>
  <c r="AH15" i="3"/>
  <c r="AG15" i="3"/>
  <c r="AG17" i="3" s="1"/>
  <c r="AF15" i="3"/>
  <c r="AK16" i="3" l="1"/>
  <c r="AK18" i="3" s="1"/>
  <c r="AE16" i="3"/>
  <c r="AE18" i="3" s="1"/>
  <c r="AD16" i="3"/>
  <c r="AC16" i="3"/>
  <c r="AC18" i="3" s="1"/>
  <c r="AB16" i="3"/>
  <c r="AE15" i="3"/>
  <c r="AE17" i="3" s="1"/>
  <c r="AD15" i="3"/>
  <c r="AC15" i="3"/>
  <c r="AC17" i="3" s="1"/>
  <c r="AB15" i="3"/>
  <c r="AA16" i="3" l="1"/>
  <c r="AA18" i="3" s="1"/>
  <c r="Z16" i="3"/>
  <c r="Y16" i="3"/>
  <c r="Y18" i="3" s="1"/>
  <c r="X16" i="3"/>
  <c r="AA15" i="3"/>
  <c r="AA17" i="3" s="1"/>
  <c r="Z15" i="3"/>
  <c r="Y15" i="3"/>
  <c r="Y17" i="3" s="1"/>
  <c r="X15" i="3"/>
  <c r="W16" i="3" l="1"/>
  <c r="W18" i="3" s="1"/>
  <c r="V16" i="3"/>
  <c r="U16" i="3"/>
  <c r="U18" i="3" s="1"/>
  <c r="T16" i="3"/>
  <c r="W15" i="3"/>
  <c r="W17" i="3" s="1"/>
  <c r="V15" i="3"/>
  <c r="U15" i="3"/>
  <c r="U17" i="3" s="1"/>
  <c r="T15" i="3"/>
  <c r="S16" i="3" l="1"/>
  <c r="S18" i="3" s="1"/>
  <c r="R16" i="3"/>
  <c r="S15" i="3"/>
  <c r="S17" i="3" s="1"/>
  <c r="R15" i="3"/>
  <c r="Q16" i="3"/>
  <c r="Q18" i="3" s="1"/>
  <c r="P16" i="3"/>
  <c r="Q15" i="3"/>
  <c r="Q17" i="3" s="1"/>
  <c r="P15" i="3"/>
  <c r="N15" i="3" l="1"/>
  <c r="M15" i="3"/>
  <c r="M17" i="3" s="1"/>
  <c r="L15" i="3"/>
  <c r="O16" i="3"/>
  <c r="O18" i="3" s="1"/>
  <c r="N16" i="3"/>
  <c r="O15" i="3"/>
  <c r="O17" i="3" s="1"/>
  <c r="M16" i="3"/>
  <c r="M18" i="3" s="1"/>
  <c r="L16" i="3"/>
  <c r="J15" i="3" l="1"/>
  <c r="K15" i="3"/>
  <c r="K17" i="3" s="1"/>
  <c r="J16" i="3"/>
  <c r="K16" i="3"/>
  <c r="K18" i="3" s="1"/>
  <c r="H16" i="3"/>
  <c r="I16" i="3"/>
  <c r="I18" i="3" s="1"/>
  <c r="H15" i="3"/>
  <c r="I15" i="3"/>
  <c r="I17" i="3" s="1"/>
  <c r="F15" i="3" l="1"/>
  <c r="G16" i="3"/>
  <c r="G18" i="3" s="1"/>
  <c r="F16" i="3"/>
  <c r="G15" i="3"/>
  <c r="G17" i="3" s="1"/>
  <c r="E16" i="3" l="1"/>
  <c r="E18" i="3" s="1"/>
  <c r="E15" i="3"/>
  <c r="E17" i="3" s="1"/>
  <c r="C16" i="3"/>
  <c r="C18" i="3" s="1"/>
  <c r="C15" i="3"/>
  <c r="C17" i="3" s="1"/>
  <c r="D15" i="3" l="1"/>
  <c r="D16" i="3"/>
  <c r="B16" i="3"/>
  <c r="B15" i="3"/>
</calcChain>
</file>

<file path=xl/sharedStrings.xml><?xml version="1.0" encoding="utf-8"?>
<sst xmlns="http://schemas.openxmlformats.org/spreadsheetml/2006/main" count="151" uniqueCount="47">
  <si>
    <t>plot #</t>
    <phoneticPr fontId="1" type="noConversion"/>
  </si>
  <si>
    <t>plot type</t>
    <phoneticPr fontId="1" type="noConversion"/>
  </si>
  <si>
    <t>control</t>
    <phoneticPr fontId="1" type="noConversion"/>
  </si>
  <si>
    <t>May.17</t>
    <phoneticPr fontId="1" type="noConversion"/>
  </si>
  <si>
    <t>Jun.30</t>
    <phoneticPr fontId="1" type="noConversion"/>
  </si>
  <si>
    <t>statistics</t>
    <phoneticPr fontId="1" type="noConversion"/>
  </si>
  <si>
    <t>average</t>
    <phoneticPr fontId="1" type="noConversion"/>
  </si>
  <si>
    <t>sd</t>
    <phoneticPr fontId="1" type="noConversion"/>
  </si>
  <si>
    <t>se</t>
    <phoneticPr fontId="1" type="noConversion"/>
  </si>
  <si>
    <t>Jul.18</t>
    <phoneticPr fontId="1" type="noConversion"/>
  </si>
  <si>
    <t>Aug.1</t>
    <phoneticPr fontId="1" type="noConversion"/>
  </si>
  <si>
    <t>Jul.11 outside</t>
    <phoneticPr fontId="1" type="noConversion"/>
  </si>
  <si>
    <t>Jul.18 outside</t>
    <phoneticPr fontId="1" type="noConversion"/>
  </si>
  <si>
    <t>Aug.1 outside</t>
    <phoneticPr fontId="1" type="noConversion"/>
  </si>
  <si>
    <t>se: standard error</t>
    <phoneticPr fontId="1" type="noConversion"/>
  </si>
  <si>
    <t>Aug.16</t>
    <phoneticPr fontId="1" type="noConversion"/>
  </si>
  <si>
    <t>Aug.16 outside</t>
    <phoneticPr fontId="1" type="noConversion"/>
  </si>
  <si>
    <t>Sep.9</t>
    <phoneticPr fontId="1" type="noConversion"/>
  </si>
  <si>
    <t>Sep.9 outside</t>
    <phoneticPr fontId="1" type="noConversion"/>
  </si>
  <si>
    <t>Sep.22</t>
    <phoneticPr fontId="1" type="noConversion"/>
  </si>
  <si>
    <t>Sep.22 outside</t>
    <phoneticPr fontId="1" type="noConversion"/>
  </si>
  <si>
    <t>Oct.13</t>
    <phoneticPr fontId="1" type="noConversion"/>
  </si>
  <si>
    <t>Oct.13 outside</t>
    <phoneticPr fontId="1" type="noConversion"/>
  </si>
  <si>
    <t>May.14</t>
  </si>
  <si>
    <t>May.14 outside</t>
  </si>
  <si>
    <t>Sep. 12</t>
  </si>
  <si>
    <t>Sep. 12 outside</t>
  </si>
  <si>
    <t>Jul.8</t>
  </si>
  <si>
    <t>Jul.8 outside</t>
  </si>
  <si>
    <t>2023 S.a.</t>
  </si>
  <si>
    <t>year</t>
  </si>
  <si>
    <t>species</t>
  </si>
  <si>
    <t>%cover in clipped plot</t>
  </si>
  <si>
    <t>%cover in control plot</t>
  </si>
  <si>
    <t>S. alt</t>
  </si>
  <si>
    <t>P. aus</t>
  </si>
  <si>
    <t>Bare sediment</t>
  </si>
  <si>
    <t>clipped sd</t>
  </si>
  <si>
    <t>control sd</t>
  </si>
  <si>
    <t>clipped</t>
  </si>
  <si>
    <t>P. australis</t>
  </si>
  <si>
    <t>Spartina alterniflora (S.alt) % cover</t>
  </si>
  <si>
    <t>clipped plots</t>
  </si>
  <si>
    <t>control plots</t>
  </si>
  <si>
    <t>Jul.11 outside</t>
  </si>
  <si>
    <t>outside: checking plots</t>
  </si>
  <si>
    <t>sd: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</si>
</sst>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7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2"/>
      <color theme="1"/>
      <name val="Calibri"/>
      <family val="4"/>
      <charset val="134"/>
      <scheme val="minor"/>
    </font>
    <font>
      <sz val="12"/>
      <color theme="1"/>
      <name val="Calibri"/>
      <family val="4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0" fontId="2" fillId="0" borderId="1" xfId="0" applyFont="1" applyBorder="1">
      <alignment vertical="center"/>
    </xf>
    <xf numFmtId="2" fontId="0" fillId="0" borderId="1" xfId="0" applyNumberFormat="1" applyBorder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3" fillId="2" borderId="1" xfId="0" applyFont="1" applyFill="1" applyBorder="1">
      <alignment vertical="center"/>
    </xf>
    <xf numFmtId="2" fontId="2" fillId="0" borderId="1" xfId="0" applyNumberFormat="1" applyFont="1" applyBorder="1">
      <alignment vertical="center"/>
    </xf>
    <xf numFmtId="2" fontId="3" fillId="0" borderId="1" xfId="0" applyNumberFormat="1" applyFont="1" applyBorder="1">
      <alignment vertical="center"/>
    </xf>
    <xf numFmtId="0" fontId="3" fillId="3" borderId="1" xfId="0" applyFont="1" applyFill="1" applyBorder="1">
      <alignment vertical="center"/>
    </xf>
    <xf numFmtId="0" fontId="0" fillId="3" borderId="0" xfId="0" applyFill="1">
      <alignment vertical="center"/>
    </xf>
    <xf numFmtId="0" fontId="0" fillId="2" borderId="6" xfId="0" applyFill="1" applyBorder="1">
      <alignment vertical="center"/>
    </xf>
    <xf numFmtId="0" fontId="0" fillId="3" borderId="6" xfId="0" applyFill="1" applyBorder="1">
      <alignment vertical="center"/>
    </xf>
    <xf numFmtId="2" fontId="0" fillId="0" borderId="7" xfId="0" applyNumberFormat="1" applyBorder="1">
      <alignment vertical="center"/>
    </xf>
    <xf numFmtId="0" fontId="3" fillId="0" borderId="1" xfId="0" applyFont="1" applyBorder="1">
      <alignment vertical="center"/>
    </xf>
    <xf numFmtId="2" fontId="3" fillId="0" borderId="6" xfId="0" applyNumberFormat="1" applyFont="1" applyBorder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" borderId="11" xfId="0" applyFill="1" applyBorder="1">
      <alignment vertical="center"/>
    </xf>
    <xf numFmtId="0" fontId="0" fillId="0" borderId="12" xfId="0" applyBorder="1">
      <alignment vertical="center"/>
    </xf>
    <xf numFmtId="0" fontId="4" fillId="0" borderId="0" xfId="0" applyFont="1">
      <alignment vertical="center"/>
    </xf>
    <xf numFmtId="0" fontId="0" fillId="2" borderId="11" xfId="0" applyFill="1" applyBorder="1">
      <alignment vertical="center"/>
    </xf>
    <xf numFmtId="0" fontId="2" fillId="0" borderId="2" xfId="0" applyFont="1" applyBorder="1">
      <alignment vertical="center"/>
    </xf>
    <xf numFmtId="0" fontId="2" fillId="0" borderId="12" xfId="0" applyFont="1" applyBorder="1">
      <alignment vertical="center"/>
    </xf>
    <xf numFmtId="0" fontId="6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Border="1">
      <alignment vertical="center"/>
    </xf>
    <xf numFmtId="2" fontId="0" fillId="0" borderId="0" xfId="0" applyNumberFormat="1" applyBorder="1">
      <alignment vertical="center"/>
    </xf>
    <xf numFmtId="165" fontId="0" fillId="0" borderId="0" xfId="0" applyNumberFormat="1" applyBorder="1">
      <alignment vertical="center"/>
    </xf>
    <xf numFmtId="2" fontId="3" fillId="0" borderId="0" xfId="0" applyNumberFormat="1" applyFont="1" applyBorder="1">
      <alignment vertical="center"/>
    </xf>
    <xf numFmtId="14" fontId="0" fillId="0" borderId="0" xfId="0" applyNumberFormat="1" applyBorder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73AA-6F45-FE49-992D-18E390093932}">
  <dimension ref="A1:BA63"/>
  <sheetViews>
    <sheetView topLeftCell="O1" zoomScale="75" zoomScaleNormal="100" workbookViewId="0">
      <selection activeCell="S62" sqref="S62"/>
    </sheetView>
  </sheetViews>
  <sheetFormatPr baseColWidth="10" defaultRowHeight="16" x14ac:dyDescent="0.2"/>
  <cols>
    <col min="2" max="2" width="12" customWidth="1"/>
    <col min="3" max="3" width="12.6640625" customWidth="1"/>
  </cols>
  <sheetData>
    <row r="1" spans="1:43" ht="17" thickBot="1" x14ac:dyDescent="0.25">
      <c r="A1" s="42" t="s">
        <v>41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pans="1:43" ht="17" thickBot="1" x14ac:dyDescent="0.25">
      <c r="B2" s="22"/>
      <c r="C2" s="20" t="s">
        <v>42</v>
      </c>
      <c r="D2" s="19"/>
      <c r="E2" s="20" t="s">
        <v>43</v>
      </c>
      <c r="G2" s="23" t="s">
        <v>45</v>
      </c>
      <c r="H2" s="24"/>
      <c r="I2" s="50" t="s">
        <v>46</v>
      </c>
      <c r="K2" s="1" t="s">
        <v>14</v>
      </c>
    </row>
    <row r="3" spans="1:43" ht="17" thickBot="1" x14ac:dyDescent="0.25">
      <c r="B3" s="31" t="s">
        <v>29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3"/>
      <c r="AF3" s="31">
        <v>2024</v>
      </c>
      <c r="AG3" s="32"/>
      <c r="AH3" s="32"/>
      <c r="AI3" s="32"/>
      <c r="AJ3" s="32"/>
      <c r="AK3" s="32"/>
      <c r="AL3" s="32"/>
      <c r="AM3" s="33"/>
      <c r="AN3" s="31">
        <v>2025</v>
      </c>
      <c r="AO3" s="32"/>
      <c r="AP3" s="32"/>
      <c r="AQ3" s="33"/>
    </row>
    <row r="4" spans="1:43" x14ac:dyDescent="0.2">
      <c r="A4" s="3" t="s">
        <v>0</v>
      </c>
      <c r="B4" s="26" t="s">
        <v>3</v>
      </c>
      <c r="C4" s="26"/>
      <c r="D4" s="26" t="s">
        <v>4</v>
      </c>
      <c r="E4" s="26"/>
      <c r="F4" s="26" t="s">
        <v>44</v>
      </c>
      <c r="G4" s="26"/>
      <c r="H4" s="38" t="s">
        <v>9</v>
      </c>
      <c r="I4" s="40"/>
      <c r="J4" s="38" t="s">
        <v>12</v>
      </c>
      <c r="K4" s="40"/>
      <c r="L4" s="38" t="s">
        <v>10</v>
      </c>
      <c r="M4" s="40"/>
      <c r="N4" s="26" t="s">
        <v>13</v>
      </c>
      <c r="O4" s="26"/>
      <c r="P4" s="26" t="s">
        <v>15</v>
      </c>
      <c r="Q4" s="26"/>
      <c r="R4" s="26" t="s">
        <v>16</v>
      </c>
      <c r="S4" s="26"/>
      <c r="T4" s="26" t="s">
        <v>17</v>
      </c>
      <c r="U4" s="26"/>
      <c r="V4" s="26" t="s">
        <v>18</v>
      </c>
      <c r="W4" s="26"/>
      <c r="X4" s="26" t="s">
        <v>19</v>
      </c>
      <c r="Y4" s="26"/>
      <c r="Z4" s="26" t="s">
        <v>20</v>
      </c>
      <c r="AA4" s="26"/>
      <c r="AB4" s="26" t="s">
        <v>21</v>
      </c>
      <c r="AC4" s="26"/>
      <c r="AD4" s="26" t="s">
        <v>22</v>
      </c>
      <c r="AE4" s="26"/>
      <c r="AF4" s="26" t="s">
        <v>23</v>
      </c>
      <c r="AG4" s="26"/>
      <c r="AH4" s="26" t="s">
        <v>24</v>
      </c>
      <c r="AI4" s="26"/>
      <c r="AJ4" s="26" t="s">
        <v>25</v>
      </c>
      <c r="AK4" s="26"/>
      <c r="AL4" s="26" t="s">
        <v>26</v>
      </c>
      <c r="AM4" s="26"/>
      <c r="AN4" s="26" t="s">
        <v>27</v>
      </c>
      <c r="AO4" s="26"/>
      <c r="AP4" s="26" t="s">
        <v>28</v>
      </c>
      <c r="AQ4" s="26"/>
    </row>
    <row r="5" spans="1:43" s="6" customFormat="1" x14ac:dyDescent="0.2">
      <c r="A5" s="7">
        <v>1</v>
      </c>
      <c r="B5" s="27">
        <v>28.642499999999998</v>
      </c>
      <c r="C5" s="28"/>
      <c r="D5" s="27">
        <v>43.134999999999998</v>
      </c>
      <c r="E5" s="28"/>
      <c r="F5" s="27">
        <v>74.839999999999989</v>
      </c>
      <c r="G5" s="28"/>
      <c r="H5" s="27">
        <v>45.344999999999999</v>
      </c>
      <c r="I5" s="28"/>
      <c r="J5" s="27">
        <v>58.086666666666666</v>
      </c>
      <c r="K5" s="28"/>
      <c r="L5" s="27">
        <v>64.578333333333333</v>
      </c>
      <c r="M5" s="28"/>
      <c r="N5" s="27">
        <v>54.04</v>
      </c>
      <c r="O5" s="28"/>
      <c r="P5" s="35">
        <v>77.943333333333328</v>
      </c>
      <c r="Q5" s="35">
        <v>77.943333333333328</v>
      </c>
      <c r="R5" s="35">
        <v>58.586666666666666</v>
      </c>
      <c r="S5" s="35"/>
      <c r="T5" s="35">
        <v>79.260000000000005</v>
      </c>
      <c r="U5" s="35">
        <v>77.943333333333328</v>
      </c>
      <c r="V5" s="35">
        <v>86.333333333333329</v>
      </c>
      <c r="W5" s="35"/>
      <c r="X5" s="35">
        <v>81.88</v>
      </c>
      <c r="Y5" s="35">
        <v>77.943333333333328</v>
      </c>
      <c r="Z5" s="35">
        <v>96.453333333333319</v>
      </c>
      <c r="AA5" s="35"/>
      <c r="AB5" s="35">
        <v>76.643333333333345</v>
      </c>
      <c r="AC5" s="35">
        <v>77.943333333333328</v>
      </c>
      <c r="AD5" s="35">
        <v>99.333333333333329</v>
      </c>
      <c r="AE5" s="35"/>
      <c r="AF5" s="27">
        <v>6.3766666666666678</v>
      </c>
      <c r="AG5" s="28">
        <v>6.3766666666666678</v>
      </c>
      <c r="AH5" s="27">
        <v>19.893333333333331</v>
      </c>
      <c r="AI5" s="28">
        <v>19.893333333333331</v>
      </c>
      <c r="AJ5" s="27">
        <v>58.120000000000005</v>
      </c>
      <c r="AK5" s="28">
        <v>58.120000000000005</v>
      </c>
      <c r="AL5" s="27">
        <v>97.426666666666677</v>
      </c>
      <c r="AM5" s="28">
        <v>97.426666666666677</v>
      </c>
      <c r="AN5" s="27">
        <v>62.01</v>
      </c>
      <c r="AO5" s="28"/>
      <c r="AP5" s="27">
        <v>83.61333333333333</v>
      </c>
      <c r="AQ5" s="28"/>
    </row>
    <row r="6" spans="1:43" s="11" customFormat="1" x14ac:dyDescent="0.2">
      <c r="A6" s="10">
        <v>2</v>
      </c>
      <c r="B6" s="29">
        <v>36.477499999999999</v>
      </c>
      <c r="C6" s="30"/>
      <c r="D6" s="29">
        <v>47.671666666666674</v>
      </c>
      <c r="E6" s="30"/>
      <c r="F6" s="29">
        <v>52.740000000000009</v>
      </c>
      <c r="G6" s="30"/>
      <c r="H6" s="29">
        <v>35.195</v>
      </c>
      <c r="I6" s="30"/>
      <c r="J6" s="29">
        <v>46.846666666666664</v>
      </c>
      <c r="K6" s="30"/>
      <c r="L6" s="29">
        <v>42.258333333333333</v>
      </c>
      <c r="M6" s="30"/>
      <c r="N6" s="29">
        <v>69.760000000000005</v>
      </c>
      <c r="O6" s="30"/>
      <c r="P6" s="34">
        <v>39.893333333333338</v>
      </c>
      <c r="Q6" s="34"/>
      <c r="R6" s="34">
        <v>75.440000000000012</v>
      </c>
      <c r="S6" s="34"/>
      <c r="T6" s="34">
        <v>39.29</v>
      </c>
      <c r="U6" s="34"/>
      <c r="V6" s="34">
        <v>79.733333333333348</v>
      </c>
      <c r="W6" s="34"/>
      <c r="X6" s="34">
        <v>44.01</v>
      </c>
      <c r="Y6" s="34"/>
      <c r="Z6" s="34">
        <v>88.8</v>
      </c>
      <c r="AA6" s="34"/>
      <c r="AB6" s="34">
        <v>47.333333333333336</v>
      </c>
      <c r="AC6" s="34"/>
      <c r="AD6" s="34">
        <v>89.64</v>
      </c>
      <c r="AE6" s="34"/>
      <c r="AF6" s="29">
        <v>0</v>
      </c>
      <c r="AG6" s="30">
        <v>0</v>
      </c>
      <c r="AH6" s="29">
        <v>19.786666666666665</v>
      </c>
      <c r="AI6" s="30">
        <v>19.786666666666665</v>
      </c>
      <c r="AJ6" s="29">
        <v>21.98</v>
      </c>
      <c r="AK6" s="30">
        <v>21.98</v>
      </c>
      <c r="AL6" s="29">
        <v>79.573333333333323</v>
      </c>
      <c r="AM6" s="30">
        <v>79.573333333333323</v>
      </c>
      <c r="AN6" s="29">
        <v>23.386666666666667</v>
      </c>
      <c r="AO6" s="30"/>
      <c r="AP6" s="29">
        <v>82.933333333333337</v>
      </c>
      <c r="AQ6" s="30"/>
    </row>
    <row r="7" spans="1:43" s="6" customFormat="1" x14ac:dyDescent="0.2">
      <c r="A7" s="7">
        <v>3</v>
      </c>
      <c r="B7" s="27">
        <v>26.030833333333341</v>
      </c>
      <c r="C7" s="28"/>
      <c r="D7" s="27">
        <v>33.593333333333334</v>
      </c>
      <c r="E7" s="28"/>
      <c r="F7" s="27">
        <v>71.873333333333335</v>
      </c>
      <c r="G7" s="28"/>
      <c r="H7" s="27">
        <v>37.76</v>
      </c>
      <c r="I7" s="28"/>
      <c r="J7" s="27">
        <v>76.239999999999995</v>
      </c>
      <c r="K7" s="28"/>
      <c r="L7" s="27">
        <v>44.05</v>
      </c>
      <c r="M7" s="28"/>
      <c r="N7" s="27">
        <v>88.866666666666688</v>
      </c>
      <c r="O7" s="28"/>
      <c r="P7" s="35">
        <v>59.106666666666676</v>
      </c>
      <c r="Q7" s="35"/>
      <c r="R7" s="35">
        <v>94.22</v>
      </c>
      <c r="S7" s="35"/>
      <c r="T7" s="35">
        <v>54.78</v>
      </c>
      <c r="U7" s="35"/>
      <c r="V7" s="35">
        <v>90.873333333333349</v>
      </c>
      <c r="W7" s="35"/>
      <c r="X7" s="35">
        <v>60.716666666666661</v>
      </c>
      <c r="Y7" s="35"/>
      <c r="Z7" s="35">
        <v>98.066666666666663</v>
      </c>
      <c r="AA7" s="35"/>
      <c r="AB7" s="35">
        <v>58.95</v>
      </c>
      <c r="AC7" s="35"/>
      <c r="AD7" s="35">
        <v>97.273333333333326</v>
      </c>
      <c r="AE7" s="35"/>
      <c r="AF7" s="27">
        <v>13.320000000000002</v>
      </c>
      <c r="AG7" s="28">
        <v>13.320000000000002</v>
      </c>
      <c r="AH7" s="27">
        <v>50.033333333333331</v>
      </c>
      <c r="AI7" s="28">
        <v>50.033333333333331</v>
      </c>
      <c r="AJ7" s="27">
        <v>60.031666666666659</v>
      </c>
      <c r="AK7" s="28">
        <v>60.031666666666659</v>
      </c>
      <c r="AL7" s="27">
        <v>95.146666666666675</v>
      </c>
      <c r="AM7" s="28">
        <v>95.146666666666675</v>
      </c>
      <c r="AN7" s="27">
        <v>66</v>
      </c>
      <c r="AO7" s="28"/>
      <c r="AP7" s="27">
        <v>94.586666666666659</v>
      </c>
      <c r="AQ7" s="28"/>
    </row>
    <row r="8" spans="1:43" s="11" customFormat="1" x14ac:dyDescent="0.2">
      <c r="A8" s="10">
        <v>4</v>
      </c>
      <c r="B8" s="29">
        <v>24.529999999999998</v>
      </c>
      <c r="C8" s="30"/>
      <c r="D8" s="29">
        <v>16.8825</v>
      </c>
      <c r="E8" s="30"/>
      <c r="F8" s="29">
        <v>78.046666666666681</v>
      </c>
      <c r="G8" s="30"/>
      <c r="H8" s="29">
        <v>26.986666666666672</v>
      </c>
      <c r="I8" s="30"/>
      <c r="J8" s="29">
        <v>87.36</v>
      </c>
      <c r="K8" s="30"/>
      <c r="L8" s="29">
        <v>30.098333333333333</v>
      </c>
      <c r="M8" s="30"/>
      <c r="N8" s="29">
        <v>95.893333333333331</v>
      </c>
      <c r="O8" s="30"/>
      <c r="P8" s="34">
        <v>28.634999999999998</v>
      </c>
      <c r="Q8" s="34"/>
      <c r="R8" s="34">
        <v>98.600000000000009</v>
      </c>
      <c r="S8" s="34"/>
      <c r="T8" s="34">
        <v>23.91</v>
      </c>
      <c r="U8" s="34"/>
      <c r="V8" s="34">
        <v>99.4</v>
      </c>
      <c r="W8" s="34"/>
      <c r="X8" s="34">
        <v>33.566666666666663</v>
      </c>
      <c r="Y8" s="34"/>
      <c r="Z8" s="34">
        <v>98.733333333333334</v>
      </c>
      <c r="AA8" s="34"/>
      <c r="AB8" s="34">
        <v>30.683333333333334</v>
      </c>
      <c r="AC8" s="34"/>
      <c r="AD8" s="34">
        <v>98.533333333333331</v>
      </c>
      <c r="AE8" s="34"/>
      <c r="AF8" s="29">
        <v>0</v>
      </c>
      <c r="AG8" s="30">
        <v>0</v>
      </c>
      <c r="AH8" s="29">
        <v>50.333333333333329</v>
      </c>
      <c r="AI8" s="30">
        <v>50.333333333333329</v>
      </c>
      <c r="AJ8" s="29">
        <v>18.440000000000001</v>
      </c>
      <c r="AK8" s="30">
        <v>18.440000000000001</v>
      </c>
      <c r="AL8" s="29">
        <v>85.65333333333335</v>
      </c>
      <c r="AM8" s="30">
        <v>85.65333333333335</v>
      </c>
      <c r="AN8" s="29">
        <v>7.413333333333334</v>
      </c>
      <c r="AO8" s="30"/>
      <c r="AP8" s="29">
        <v>95.199999999999989</v>
      </c>
      <c r="AQ8" s="30"/>
    </row>
    <row r="9" spans="1:43" s="6" customFormat="1" x14ac:dyDescent="0.2">
      <c r="A9" s="7">
        <v>5</v>
      </c>
      <c r="B9" s="27">
        <v>20.521666666666668</v>
      </c>
      <c r="C9" s="28"/>
      <c r="D9" s="27">
        <v>34.912499999999994</v>
      </c>
      <c r="E9" s="28"/>
      <c r="F9" s="27">
        <v>86.113333333333344</v>
      </c>
      <c r="G9" s="28"/>
      <c r="H9" s="27">
        <v>49.583333333333336</v>
      </c>
      <c r="I9" s="28"/>
      <c r="J9" s="27">
        <v>92.066666666666663</v>
      </c>
      <c r="K9" s="28"/>
      <c r="L9" s="27">
        <v>47.75</v>
      </c>
      <c r="M9" s="28"/>
      <c r="N9" s="27">
        <v>95.526666666666671</v>
      </c>
      <c r="O9" s="28"/>
      <c r="P9" s="35">
        <v>47.283333333333339</v>
      </c>
      <c r="Q9" s="35"/>
      <c r="R9" s="35">
        <v>100</v>
      </c>
      <c r="S9" s="35"/>
      <c r="T9" s="35">
        <v>53.25</v>
      </c>
      <c r="U9" s="35"/>
      <c r="V9" s="35">
        <v>99.4</v>
      </c>
      <c r="W9" s="35"/>
      <c r="X9" s="35">
        <v>45.983333333333334</v>
      </c>
      <c r="Y9" s="35"/>
      <c r="Z9" s="35">
        <v>99.733333333333334</v>
      </c>
      <c r="AA9" s="35"/>
      <c r="AB9" s="35">
        <v>42.8</v>
      </c>
      <c r="AC9" s="35"/>
      <c r="AD9" s="35">
        <v>99.266666666666666</v>
      </c>
      <c r="AE9" s="35"/>
      <c r="AF9" s="27">
        <v>8.9533333333333331</v>
      </c>
      <c r="AG9" s="28">
        <v>8.9533333333333331</v>
      </c>
      <c r="AH9" s="27">
        <v>50.566666666666663</v>
      </c>
      <c r="AI9" s="28">
        <v>50.566666666666663</v>
      </c>
      <c r="AJ9" s="27">
        <v>51.12</v>
      </c>
      <c r="AK9" s="28">
        <v>51.12</v>
      </c>
      <c r="AL9" s="27">
        <v>89.766666666666666</v>
      </c>
      <c r="AM9" s="28">
        <v>89.766666666666666</v>
      </c>
      <c r="AN9" s="27">
        <v>78.224999999999994</v>
      </c>
      <c r="AO9" s="28"/>
      <c r="AP9" s="27">
        <v>92.933333333333323</v>
      </c>
      <c r="AQ9" s="28"/>
    </row>
    <row r="10" spans="1:43" s="11" customFormat="1" x14ac:dyDescent="0.2">
      <c r="A10" s="10">
        <v>6</v>
      </c>
      <c r="B10" s="29">
        <v>13.936666666666667</v>
      </c>
      <c r="C10" s="30"/>
      <c r="D10" s="29">
        <v>20.906666666666666</v>
      </c>
      <c r="E10" s="30"/>
      <c r="F10" s="29">
        <v>90.8</v>
      </c>
      <c r="G10" s="30"/>
      <c r="H10" s="29">
        <v>28.566666666666666</v>
      </c>
      <c r="I10" s="30"/>
      <c r="J10" s="29">
        <v>90.3</v>
      </c>
      <c r="K10" s="30"/>
      <c r="L10" s="29">
        <v>32.190000000000005</v>
      </c>
      <c r="M10" s="30"/>
      <c r="N10" s="29">
        <v>99.4</v>
      </c>
      <c r="O10" s="30"/>
      <c r="P10" s="34">
        <v>35.25</v>
      </c>
      <c r="Q10" s="34"/>
      <c r="R10" s="34">
        <v>99.666666666666671</v>
      </c>
      <c r="S10" s="34"/>
      <c r="T10" s="34">
        <v>42.43</v>
      </c>
      <c r="U10" s="34"/>
      <c r="V10" s="34">
        <v>99.800000000000011</v>
      </c>
      <c r="W10" s="34"/>
      <c r="X10" s="34">
        <v>39.533333333333331</v>
      </c>
      <c r="Y10" s="34"/>
      <c r="Z10" s="34">
        <v>99.733333333333334</v>
      </c>
      <c r="AA10" s="34"/>
      <c r="AB10" s="34">
        <v>26.200000000000003</v>
      </c>
      <c r="AC10" s="34"/>
      <c r="AD10" s="34">
        <v>99.13333333333334</v>
      </c>
      <c r="AE10" s="34"/>
      <c r="AF10" s="29">
        <v>0</v>
      </c>
      <c r="AG10" s="30">
        <v>0</v>
      </c>
      <c r="AH10" s="29">
        <v>10.006666666666668</v>
      </c>
      <c r="AI10" s="30">
        <v>10.006666666666668</v>
      </c>
      <c r="AJ10" s="29">
        <v>14.95</v>
      </c>
      <c r="AK10" s="30"/>
      <c r="AL10" s="29">
        <v>98.4</v>
      </c>
      <c r="AM10" s="30">
        <v>98.4</v>
      </c>
      <c r="AN10" s="29">
        <v>7.7666666666666675</v>
      </c>
      <c r="AO10" s="30"/>
      <c r="AP10" s="29">
        <v>80.106666666666669</v>
      </c>
      <c r="AQ10" s="30"/>
    </row>
    <row r="11" spans="1:43" x14ac:dyDescent="0.2">
      <c r="B11" s="5"/>
      <c r="C11" s="2"/>
      <c r="M11" s="18"/>
      <c r="AF11" s="2"/>
      <c r="AG11" s="2"/>
      <c r="AJ11" s="2"/>
      <c r="AK11" s="2"/>
    </row>
    <row r="12" spans="1:43" x14ac:dyDescent="0.2">
      <c r="A12" s="3" t="s">
        <v>5</v>
      </c>
      <c r="B12" s="5"/>
      <c r="C12" s="2"/>
      <c r="AJ12" s="2"/>
      <c r="AK12" s="2"/>
    </row>
    <row r="13" spans="1:43" x14ac:dyDescent="0.2">
      <c r="A13" s="37" t="s">
        <v>1</v>
      </c>
      <c r="B13" s="36" t="s">
        <v>3</v>
      </c>
      <c r="C13" s="36"/>
      <c r="D13" s="36" t="s">
        <v>4</v>
      </c>
      <c r="E13" s="36"/>
      <c r="F13" s="36" t="s">
        <v>11</v>
      </c>
      <c r="G13" s="36"/>
      <c r="H13" s="41" t="s">
        <v>9</v>
      </c>
      <c r="I13" s="39"/>
      <c r="J13" s="38" t="s">
        <v>12</v>
      </c>
      <c r="K13" s="39"/>
      <c r="L13" s="41" t="s">
        <v>10</v>
      </c>
      <c r="M13" s="39"/>
      <c r="N13" s="36" t="s">
        <v>13</v>
      </c>
      <c r="O13" s="36"/>
      <c r="P13" s="41" t="s">
        <v>15</v>
      </c>
      <c r="Q13" s="39"/>
      <c r="R13" s="41" t="s">
        <v>16</v>
      </c>
      <c r="S13" s="39"/>
      <c r="T13" s="36" t="s">
        <v>17</v>
      </c>
      <c r="U13" s="36"/>
      <c r="V13" s="36" t="s">
        <v>18</v>
      </c>
      <c r="W13" s="36"/>
      <c r="X13" s="36" t="s">
        <v>19</v>
      </c>
      <c r="Y13" s="36"/>
      <c r="Z13" s="36" t="s">
        <v>20</v>
      </c>
      <c r="AA13" s="36"/>
      <c r="AB13" s="36" t="s">
        <v>21</v>
      </c>
      <c r="AC13" s="36"/>
      <c r="AD13" s="36" t="s">
        <v>22</v>
      </c>
      <c r="AE13" s="36"/>
      <c r="AF13" s="26" t="s">
        <v>23</v>
      </c>
      <c r="AG13" s="26"/>
      <c r="AH13" s="26" t="s">
        <v>24</v>
      </c>
      <c r="AI13" s="26"/>
      <c r="AJ13" s="26" t="s">
        <v>25</v>
      </c>
      <c r="AK13" s="26"/>
      <c r="AL13" s="26" t="s">
        <v>26</v>
      </c>
      <c r="AM13" s="26"/>
      <c r="AN13" s="26" t="s">
        <v>27</v>
      </c>
      <c r="AO13" s="26"/>
      <c r="AP13" s="26" t="s">
        <v>28</v>
      </c>
      <c r="AQ13" s="26"/>
    </row>
    <row r="14" spans="1:43" x14ac:dyDescent="0.2">
      <c r="A14" s="26"/>
      <c r="B14" s="3" t="s">
        <v>6</v>
      </c>
      <c r="C14" s="8" t="s">
        <v>7</v>
      </c>
      <c r="D14" s="3" t="s">
        <v>6</v>
      </c>
      <c r="E14" s="8" t="s">
        <v>7</v>
      </c>
      <c r="F14" s="3" t="s">
        <v>6</v>
      </c>
      <c r="G14" s="8" t="s">
        <v>7</v>
      </c>
      <c r="H14" s="3" t="s">
        <v>6</v>
      </c>
      <c r="I14" s="8" t="s">
        <v>7</v>
      </c>
      <c r="J14" s="3" t="s">
        <v>6</v>
      </c>
      <c r="K14" s="8" t="s">
        <v>7</v>
      </c>
      <c r="L14" s="3" t="s">
        <v>6</v>
      </c>
      <c r="M14" s="8" t="s">
        <v>7</v>
      </c>
      <c r="N14" s="3" t="s">
        <v>6</v>
      </c>
      <c r="O14" s="8" t="s">
        <v>7</v>
      </c>
      <c r="P14" s="3" t="s">
        <v>6</v>
      </c>
      <c r="Q14" s="8" t="s">
        <v>7</v>
      </c>
      <c r="R14" s="3" t="s">
        <v>6</v>
      </c>
      <c r="S14" s="8" t="s">
        <v>7</v>
      </c>
      <c r="T14" s="3" t="s">
        <v>6</v>
      </c>
      <c r="U14" s="8" t="s">
        <v>7</v>
      </c>
      <c r="V14" s="3" t="s">
        <v>6</v>
      </c>
      <c r="W14" s="8" t="s">
        <v>7</v>
      </c>
      <c r="X14" s="3" t="s">
        <v>6</v>
      </c>
      <c r="Y14" s="8" t="s">
        <v>7</v>
      </c>
      <c r="Z14" s="3" t="s">
        <v>6</v>
      </c>
      <c r="AA14" s="8" t="s">
        <v>7</v>
      </c>
      <c r="AB14" s="3" t="s">
        <v>6</v>
      </c>
      <c r="AC14" s="8" t="s">
        <v>7</v>
      </c>
      <c r="AD14" s="3" t="s">
        <v>6</v>
      </c>
      <c r="AE14" s="8" t="s">
        <v>7</v>
      </c>
      <c r="AF14" s="3" t="s">
        <v>6</v>
      </c>
      <c r="AG14" s="8" t="s">
        <v>7</v>
      </c>
      <c r="AH14" s="3" t="s">
        <v>6</v>
      </c>
      <c r="AI14" s="8" t="s">
        <v>7</v>
      </c>
      <c r="AJ14" s="3" t="s">
        <v>6</v>
      </c>
      <c r="AK14" s="8" t="s">
        <v>7</v>
      </c>
      <c r="AL14" s="3" t="s">
        <v>6</v>
      </c>
      <c r="AM14" s="8" t="s">
        <v>7</v>
      </c>
      <c r="AN14" s="3" t="s">
        <v>6</v>
      </c>
      <c r="AO14" s="8" t="s">
        <v>7</v>
      </c>
      <c r="AP14" s="3" t="s">
        <v>6</v>
      </c>
      <c r="AQ14" s="8" t="s">
        <v>7</v>
      </c>
    </row>
    <row r="15" spans="1:43" x14ac:dyDescent="0.2">
      <c r="A15" s="12" t="s">
        <v>39</v>
      </c>
      <c r="B15" s="9">
        <f>AVERAGE(B5,B7,B9)</f>
        <v>25.065000000000001</v>
      </c>
      <c r="C15" s="4">
        <f>STDEV(B5,B7,B9)</f>
        <v>4.1456735312585806</v>
      </c>
      <c r="D15" s="14">
        <f>AVERAGE(D5,D7,D9)</f>
        <v>37.213611111111106</v>
      </c>
      <c r="E15" s="4">
        <f>STDEV(D5,D7,D9)</f>
        <v>5.1703176840213878</v>
      </c>
      <c r="F15" s="16">
        <f>AVERAGE(F5,F7,F9)</f>
        <v>77.608888888888885</v>
      </c>
      <c r="G15" s="4">
        <f>STDEV(F5,F7,F9)</f>
        <v>7.5129527656747159</v>
      </c>
      <c r="H15" s="16">
        <f>AVERAGE(H5,H7,H9)</f>
        <v>44.229444444444447</v>
      </c>
      <c r="I15" s="4">
        <f>STDEV(H5,H7,H9)</f>
        <v>5.9900877227237874</v>
      </c>
      <c r="J15" s="16">
        <f>AVERAGE(J5,J7,J9)</f>
        <v>75.464444444444439</v>
      </c>
      <c r="K15" s="4">
        <f>STDEV(J5,J7,J9)</f>
        <v>17.00327070933163</v>
      </c>
      <c r="L15" s="16">
        <f>AVERAGE(L5,L7,L9)</f>
        <v>52.126111111111108</v>
      </c>
      <c r="M15" s="4">
        <f>STDEV(L5,L7,L9)</f>
        <v>10.941475161225005</v>
      </c>
      <c r="N15" s="16">
        <f>AVERAGE(N5,N7,N9)</f>
        <v>79.477777777777789</v>
      </c>
      <c r="O15" s="4">
        <f>STDEV(N5,N7,N9)</f>
        <v>22.280020280594528</v>
      </c>
      <c r="P15" s="16">
        <f>AVERAGE(P5,P7,P9)</f>
        <v>61.44444444444445</v>
      </c>
      <c r="Q15" s="4">
        <f>STDEV(P5,P7,P9)</f>
        <v>15.463111061610572</v>
      </c>
      <c r="R15" s="16">
        <f>AVERAGE(R5,R7,R9)</f>
        <v>84.268888888888895</v>
      </c>
      <c r="S15" s="4">
        <f>STDEV(R5,R7,R9)</f>
        <v>22.42843070086947</v>
      </c>
      <c r="T15" s="16">
        <f>AVERAGE(T5,T7,T9)</f>
        <v>62.430000000000007</v>
      </c>
      <c r="U15" s="4">
        <f>STDEV(T5,T7,T9)</f>
        <v>14.59526978167926</v>
      </c>
      <c r="V15" s="16">
        <f>AVERAGE(V5,V7,V9)</f>
        <v>92.202222222222233</v>
      </c>
      <c r="W15" s="4">
        <f>STDEV(V5,V7,V9)</f>
        <v>6.6339206886805444</v>
      </c>
      <c r="X15" s="16">
        <f>AVERAGE(X5,X7,X9)</f>
        <v>62.859999999999992</v>
      </c>
      <c r="Y15" s="4">
        <f>STDEV(X5,X7,X9)</f>
        <v>18.044059348654823</v>
      </c>
      <c r="Z15" s="16">
        <f>AVERAGE(Z5,Z7,Z9)</f>
        <v>98.084444444444443</v>
      </c>
      <c r="AA15" s="4">
        <f>STDEV(Z5,Z7,Z9)</f>
        <v>1.6400722657971698</v>
      </c>
      <c r="AB15" s="16">
        <f>AVERAGE(AB5,AB7,AB9)</f>
        <v>59.46444444444446</v>
      </c>
      <c r="AC15" s="4">
        <f>STDEV(AB5,AB7,AB9)</f>
        <v>16.927530611184586</v>
      </c>
      <c r="AD15" s="16">
        <f>AVERAGE(AD5,AD7,AD9)</f>
        <v>98.62444444444445</v>
      </c>
      <c r="AE15" s="4">
        <f>STDEV(AD5,AD7,AD9)</f>
        <v>1.1705712438963476</v>
      </c>
      <c r="AF15" s="16">
        <f>AVERAGE(AF5,AF7,AF9)</f>
        <v>9.5500000000000007</v>
      </c>
      <c r="AG15" s="4">
        <f>STDEV(AF5,AF7,AF9)</f>
        <v>3.5099113632366548</v>
      </c>
      <c r="AH15" s="16">
        <f>AVERAGE(AH5,AH7,AH9)</f>
        <v>40.164444444444442</v>
      </c>
      <c r="AI15" s="4">
        <f>STDEV(AH5,AH7,AH9)</f>
        <v>17.5573224146044</v>
      </c>
      <c r="AJ15" s="16">
        <f>AVERAGE(AJ5,AJ7,AJ9)</f>
        <v>56.423888888888889</v>
      </c>
      <c r="AK15" s="4">
        <f>STDEV(AJ5,AJ7,AJ9)</f>
        <v>4.6916996249089058</v>
      </c>
      <c r="AL15" s="16">
        <f>AVERAGE(AL5,AL7,AL9)</f>
        <v>94.113333333333344</v>
      </c>
      <c r="AM15" s="4">
        <f>STDEV(AL5,AL7,AL9)</f>
        <v>3.9331581881909328</v>
      </c>
      <c r="AN15" s="16">
        <f>AVERAGE(AN5,AN7,AN9)</f>
        <v>68.74499999999999</v>
      </c>
      <c r="AO15" s="4">
        <f>STDEV(AN5,AN7,AN9)</f>
        <v>8.4488357186064373</v>
      </c>
      <c r="AP15" s="16">
        <f>AVERAGE(AP5,AP7,AP9)</f>
        <v>90.37777777777778</v>
      </c>
      <c r="AQ15" s="4">
        <f>STDEV(AP5,AP7,AP9)</f>
        <v>5.9162200144398973</v>
      </c>
    </row>
    <row r="16" spans="1:43" x14ac:dyDescent="0.2">
      <c r="A16" s="13" t="s">
        <v>2</v>
      </c>
      <c r="B16" s="9">
        <f>AVERAGE(B6,B8,B10)</f>
        <v>24.981388888888887</v>
      </c>
      <c r="C16" s="4">
        <f>STDEV(B6,B8,B10)</f>
        <v>11.277194056459122</v>
      </c>
      <c r="D16" s="14">
        <f>AVERAGE(D6,D8,D10)</f>
        <v>28.486944444444447</v>
      </c>
      <c r="E16" s="4">
        <f>STDEV(D6,D8,D10)</f>
        <v>16.735849377851974</v>
      </c>
      <c r="F16" s="16">
        <f>AVERAGE(F6,F8,F10)</f>
        <v>73.862222222222229</v>
      </c>
      <c r="G16" s="4">
        <f>STDEV(F6,F8,F10)</f>
        <v>19.371966381384198</v>
      </c>
      <c r="H16" s="16">
        <f>AVERAGE(H6,H8,H10)</f>
        <v>30.249444444444446</v>
      </c>
      <c r="I16" s="4">
        <f>STDEV(H6,H8,H10)</f>
        <v>4.3552255756521614</v>
      </c>
      <c r="J16" s="16">
        <f>AVERAGE(J6,J8,J10)</f>
        <v>74.835555555555558</v>
      </c>
      <c r="K16" s="4">
        <f>STDEV(J6,J8,J10)</f>
        <v>24.28362258654845</v>
      </c>
      <c r="L16" s="16">
        <f>AVERAGE(L6,L8,L10)</f>
        <v>34.848888888888894</v>
      </c>
      <c r="M16" s="4">
        <f>STDEV(L6,L8,L10)</f>
        <v>6.5014358100801273</v>
      </c>
      <c r="N16" s="16">
        <f>AVERAGE(N6,N8,N10)</f>
        <v>88.351111111111109</v>
      </c>
      <c r="O16" s="4">
        <f>STDEV(N6,N8,N10)</f>
        <v>16.195562263689357</v>
      </c>
      <c r="P16" s="16">
        <f>AVERAGE(P6,P8,P10)</f>
        <v>34.592777777777776</v>
      </c>
      <c r="Q16" s="4">
        <f>STDEV(P6,P8,P10)</f>
        <v>5.6578682512186775</v>
      </c>
      <c r="R16" s="16">
        <f>AVERAGE(R6,R8,R10)</f>
        <v>91.235555555555564</v>
      </c>
      <c r="S16" s="4">
        <f>STDEV(R6,R8,R10)</f>
        <v>13.689745283456663</v>
      </c>
      <c r="T16" s="16">
        <f>AVERAGE(T6,T8,T10)</f>
        <v>35.21</v>
      </c>
      <c r="U16" s="4">
        <f>STDEV(T6,T8,T10)</f>
        <v>9.9112259584775941</v>
      </c>
      <c r="V16" s="16">
        <f>AVERAGE(V6,V8,V10)</f>
        <v>92.977777777777803</v>
      </c>
      <c r="W16" s="4">
        <f>STDEV(V6,V8,V10)</f>
        <v>11.471768890693314</v>
      </c>
      <c r="X16" s="16">
        <f>AVERAGE(X6,X8,X10)</f>
        <v>39.036666666666662</v>
      </c>
      <c r="Y16" s="4">
        <f>STDEV(X6,X8,X10)</f>
        <v>5.2393521652119652</v>
      </c>
      <c r="Z16" s="16">
        <f>AVERAGE(Z6,Z8,Z10)</f>
        <v>95.755555555555546</v>
      </c>
      <c r="AA16" s="4">
        <f>STDEV(Z6,Z8,Z10)</f>
        <v>6.0444035946332075</v>
      </c>
      <c r="AB16" s="16">
        <f>AVERAGE(AB6,AB8,AB10)</f>
        <v>34.738888888888887</v>
      </c>
      <c r="AC16" s="4">
        <f>STDEV(AB6,AB8,AB10)</f>
        <v>11.135083861048944</v>
      </c>
      <c r="AD16" s="16">
        <f>AVERAGE(AD6,AD8,AD10)</f>
        <v>95.768888888888895</v>
      </c>
      <c r="AE16" s="4">
        <f>STDEV(AD6,AD8,AD10)</f>
        <v>5.3162448456837721</v>
      </c>
      <c r="AF16" s="16">
        <f>AVERAGE(AF6,AF8,AF10)</f>
        <v>0</v>
      </c>
      <c r="AG16" s="4">
        <f>STDEV(AF6,AF8,AF10)</f>
        <v>0</v>
      </c>
      <c r="AH16" s="16">
        <f>AVERAGE(AH6,AH8,AH10)</f>
        <v>26.70888888888889</v>
      </c>
      <c r="AI16" s="4">
        <f>STDEV(AH6,AH8,AH10)</f>
        <v>21.035633612550896</v>
      </c>
      <c r="AJ16" s="16">
        <f>AVERAGE(AJ6,AJ8,AJ10)</f>
        <v>18.456666666666667</v>
      </c>
      <c r="AK16" s="4">
        <f>STDEV(AJ6,AJ8,AJ10)</f>
        <v>3.5150296347731156</v>
      </c>
      <c r="AL16" s="16">
        <f>AVERAGE(AL6,AL8,AL10)</f>
        <v>87.87555555555555</v>
      </c>
      <c r="AM16" s="4">
        <f>STDEV(AL6,AL8,AL10)</f>
        <v>9.6080460109300194</v>
      </c>
      <c r="AN16" s="16">
        <f>AVERAGE(AN6,AN8,AN10)</f>
        <v>12.855555555555556</v>
      </c>
      <c r="AO16" s="4">
        <f>STDEV(AN6,AN8,AN10)</f>
        <v>9.1219206879383137</v>
      </c>
      <c r="AP16" s="16">
        <f>AVERAGE(AP6,AP8,AP10)</f>
        <v>86.08</v>
      </c>
      <c r="AQ16" s="4">
        <f>STDEV(AP6,AP8,AP10)</f>
        <v>8.0236096061006723</v>
      </c>
    </row>
    <row r="17" spans="2:53" x14ac:dyDescent="0.2">
      <c r="B17" s="15" t="s">
        <v>8</v>
      </c>
      <c r="C17" s="4">
        <f>C15/(SQRT(3))</f>
        <v>2.3935057292444482</v>
      </c>
      <c r="E17" s="4">
        <f>E15/(SQRT(3))</f>
        <v>2.9850843066656307</v>
      </c>
      <c r="F17" s="5" t="s">
        <v>8</v>
      </c>
      <c r="G17" s="4">
        <f>G15/(SQRT(3))</f>
        <v>4.3376053016712408</v>
      </c>
      <c r="H17" s="5" t="s">
        <v>8</v>
      </c>
      <c r="I17" s="4">
        <f>I15/(SQRT(3))</f>
        <v>3.4583787591840514</v>
      </c>
      <c r="J17" s="5" t="s">
        <v>8</v>
      </c>
      <c r="K17" s="4">
        <f>K15/(SQRT(3))</f>
        <v>9.816842921136697</v>
      </c>
      <c r="L17" s="5" t="s">
        <v>8</v>
      </c>
      <c r="M17" s="4">
        <f>M15/(SQRT(3))</f>
        <v>6.3170636296648608</v>
      </c>
      <c r="N17" s="5" t="s">
        <v>8</v>
      </c>
      <c r="O17" s="4">
        <f>O15/(SQRT(3))</f>
        <v>12.863375706551572</v>
      </c>
      <c r="P17" s="5" t="s">
        <v>8</v>
      </c>
      <c r="Q17" s="4">
        <f>Q15/(SQRT(3))</f>
        <v>8.9276313339299449</v>
      </c>
      <c r="R17" s="5" t="s">
        <v>8</v>
      </c>
      <c r="S17" s="4">
        <f>S15/(SQRT(3))</f>
        <v>12.949060502647855</v>
      </c>
      <c r="T17" s="5" t="s">
        <v>8</v>
      </c>
      <c r="U17" s="4">
        <f>U15/(SQRT(3))</f>
        <v>8.4265829373477317</v>
      </c>
      <c r="V17" s="5" t="s">
        <v>8</v>
      </c>
      <c r="W17" s="4">
        <f>W15/(SQRT(3))</f>
        <v>3.8300958953923399</v>
      </c>
      <c r="X17" s="5" t="s">
        <v>8</v>
      </c>
      <c r="Y17" s="4">
        <f>Y15/(SQRT(3))</f>
        <v>10.417742522219447</v>
      </c>
      <c r="Z17" s="5" t="s">
        <v>8</v>
      </c>
      <c r="AA17" s="4">
        <f>AA15/(SQRT(3))</f>
        <v>0.94689616414843547</v>
      </c>
      <c r="AB17" s="5" t="s">
        <v>8</v>
      </c>
      <c r="AC17" s="4">
        <f>AC15/(SQRT(3))</f>
        <v>9.7731143550830524</v>
      </c>
      <c r="AD17" s="5" t="s">
        <v>8</v>
      </c>
      <c r="AE17" s="4">
        <f>AE15/(SQRT(3))</f>
        <v>0.67582962276919134</v>
      </c>
      <c r="AF17" s="5" t="s">
        <v>8</v>
      </c>
      <c r="AG17" s="4">
        <f>AG15/(SQRT(3))</f>
        <v>2.0264482703964091</v>
      </c>
      <c r="AH17" s="5" t="s">
        <v>8</v>
      </c>
      <c r="AI17" s="4">
        <f>AI15/(SQRT(3))</f>
        <v>10.1367248223209</v>
      </c>
      <c r="AJ17" s="5" t="s">
        <v>8</v>
      </c>
      <c r="AK17" s="4">
        <f>AK15/(SQRT(3))</f>
        <v>2.7087540413980231</v>
      </c>
      <c r="AL17" s="5" t="s">
        <v>8</v>
      </c>
      <c r="AM17" s="4">
        <f>AM15/(SQRT(3))</f>
        <v>2.2708099387174161</v>
      </c>
      <c r="AN17" s="5" t="s">
        <v>8</v>
      </c>
      <c r="AO17" s="4">
        <f>AO15/(SQRT(3))</f>
        <v>4.8779375764763522</v>
      </c>
      <c r="AP17" s="5" t="s">
        <v>8</v>
      </c>
      <c r="AQ17" s="4">
        <f>AQ15/(SQRT(3))</f>
        <v>3.4157312179219264</v>
      </c>
    </row>
    <row r="18" spans="2:53" x14ac:dyDescent="0.2">
      <c r="B18" s="15" t="s">
        <v>8</v>
      </c>
      <c r="C18" s="4">
        <f>C16/(SQRT(3))</f>
        <v>6.5108910242003217</v>
      </c>
      <c r="E18" s="4">
        <f>E16/(SQRT(3))</f>
        <v>9.6624471434198682</v>
      </c>
      <c r="F18" s="5" t="s">
        <v>8</v>
      </c>
      <c r="G18" s="4">
        <f>G16/(SQRT(3))</f>
        <v>11.184410005024548</v>
      </c>
      <c r="H18" s="5" t="s">
        <v>8</v>
      </c>
      <c r="I18" s="4">
        <f>I16/(SQRT(3))</f>
        <v>2.5144906584843185</v>
      </c>
      <c r="J18" s="5" t="s">
        <v>8</v>
      </c>
      <c r="K18" s="4">
        <f>K16/(SQRT(3))</f>
        <v>14.020156037243025</v>
      </c>
      <c r="L18" s="5" t="s">
        <v>8</v>
      </c>
      <c r="M18" s="4">
        <f>M16/(SQRT(3))</f>
        <v>3.7536057150688342</v>
      </c>
      <c r="N18" s="5" t="s">
        <v>8</v>
      </c>
      <c r="O18" s="4">
        <f>O16/(SQRT(3))</f>
        <v>9.3505122326183958</v>
      </c>
      <c r="P18" s="5" t="s">
        <v>8</v>
      </c>
      <c r="Q18" s="4">
        <f>Q16/(SQRT(3))</f>
        <v>3.2665717578805409</v>
      </c>
      <c r="R18" s="5" t="s">
        <v>8</v>
      </c>
      <c r="S18" s="4">
        <f>S16/(SQRT(3))</f>
        <v>7.9037781245411143</v>
      </c>
      <c r="T18" s="5" t="s">
        <v>8</v>
      </c>
      <c r="U18" s="4">
        <f>U16/(SQRT(3))</f>
        <v>5.722248975126246</v>
      </c>
      <c r="V18" s="5" t="s">
        <v>8</v>
      </c>
      <c r="W18" s="4">
        <f>W16/(SQRT(3))</f>
        <v>6.6232288571229594</v>
      </c>
      <c r="X18" s="5" t="s">
        <v>8</v>
      </c>
      <c r="Y18" s="4">
        <f>Y16/(SQRT(3))</f>
        <v>3.0249413829643768</v>
      </c>
      <c r="Z18" s="5" t="s">
        <v>8</v>
      </c>
      <c r="AA18" s="4">
        <f>AA16/(SQRT(3))</f>
        <v>3.489738042452224</v>
      </c>
      <c r="AB18" s="5" t="s">
        <v>8</v>
      </c>
      <c r="AC18" s="4">
        <f>AC16/(SQRT(3))</f>
        <v>6.4288436646256653</v>
      </c>
      <c r="AD18" s="5" t="s">
        <v>8</v>
      </c>
      <c r="AE18" s="4">
        <f>AE16/(SQRT(3))</f>
        <v>3.0693353927334863</v>
      </c>
      <c r="AF18" s="5" t="s">
        <v>8</v>
      </c>
      <c r="AG18" s="4">
        <f>AG16/(SQRT(3))</f>
        <v>0</v>
      </c>
      <c r="AH18" s="5" t="s">
        <v>8</v>
      </c>
      <c r="AI18" s="4">
        <f>AI16/(SQRT(3))</f>
        <v>12.1449287287806</v>
      </c>
      <c r="AJ18" s="5" t="s">
        <v>8</v>
      </c>
      <c r="AK18" s="4">
        <f>AK16/(SQRT(3))</f>
        <v>2.0294033058457703</v>
      </c>
      <c r="AL18" s="5" t="s">
        <v>8</v>
      </c>
      <c r="AM18" s="4">
        <f>AM16/(SQRT(3))</f>
        <v>5.5472079507967571</v>
      </c>
      <c r="AN18" s="5" t="s">
        <v>8</v>
      </c>
      <c r="AO18" s="4">
        <f>AO16/(SQRT(3))</f>
        <v>5.2665433647076023</v>
      </c>
      <c r="AP18" s="5" t="s">
        <v>8</v>
      </c>
      <c r="AQ18" s="4">
        <f>AQ16/(SQRT(3))</f>
        <v>4.6324331659546907</v>
      </c>
    </row>
    <row r="19" spans="2:53" x14ac:dyDescent="0.2">
      <c r="T19" s="2"/>
      <c r="Y19" s="2"/>
      <c r="Z19" s="2"/>
      <c r="AA19" s="2"/>
      <c r="AC19" s="2"/>
    </row>
    <row r="20" spans="2:53" x14ac:dyDescent="0.2">
      <c r="T20" s="2"/>
      <c r="Y20" s="2"/>
      <c r="Z20" s="2"/>
      <c r="AA20" s="2"/>
      <c r="AC20" s="2"/>
    </row>
    <row r="21" spans="2:53" x14ac:dyDescent="0.2">
      <c r="B21" s="5"/>
      <c r="C21" s="2"/>
      <c r="T21" s="2"/>
      <c r="Y21" s="2"/>
      <c r="Z21" s="2"/>
      <c r="AA21" s="2"/>
      <c r="AC21" s="2"/>
    </row>
    <row r="22" spans="2:53" x14ac:dyDescent="0.2">
      <c r="B22" s="5"/>
      <c r="C22" s="2"/>
      <c r="T22" s="2"/>
      <c r="Y22" s="2"/>
      <c r="Z22" s="2"/>
      <c r="AA22" s="2"/>
      <c r="AC22" s="2"/>
      <c r="AD22" s="2"/>
    </row>
    <row r="23" spans="2:53" x14ac:dyDescent="0.2">
      <c r="B23" s="5"/>
      <c r="C23" s="2"/>
      <c r="Y23" s="2"/>
      <c r="AA23" s="2"/>
      <c r="AC23" s="2"/>
      <c r="AD23" s="2"/>
      <c r="AW23" s="21"/>
    </row>
    <row r="24" spans="2:53" x14ac:dyDescent="0.2">
      <c r="B24" s="5"/>
      <c r="Y24" s="2"/>
      <c r="AA24" s="2"/>
      <c r="AC24" s="2"/>
      <c r="AD24" s="2"/>
      <c r="AW24" s="21"/>
    </row>
    <row r="25" spans="2:53" x14ac:dyDescent="0.2">
      <c r="B25" s="5"/>
      <c r="C25" s="2"/>
      <c r="Y25" s="2"/>
      <c r="AA25" s="2"/>
      <c r="AC25" s="2"/>
      <c r="AD25" s="2"/>
      <c r="AH25" s="2"/>
      <c r="AI25" s="2"/>
      <c r="AW25" s="21"/>
    </row>
    <row r="26" spans="2:53" x14ac:dyDescent="0.2">
      <c r="B26" s="5"/>
      <c r="C26" s="2"/>
      <c r="Y26" s="2"/>
      <c r="AA26" s="2"/>
      <c r="AC26" s="2"/>
      <c r="AD26" s="2"/>
      <c r="AH26" s="2"/>
      <c r="AI26" s="2"/>
      <c r="AW26" s="21"/>
      <c r="AY26" s="21"/>
    </row>
    <row r="27" spans="2:53" x14ac:dyDescent="0.2">
      <c r="B27" s="5"/>
      <c r="C27" s="2"/>
      <c r="Y27" s="2"/>
      <c r="AA27" s="2"/>
      <c r="AC27" s="2"/>
      <c r="AD27" s="2"/>
      <c r="AH27" s="2"/>
      <c r="AI27" s="2"/>
      <c r="AW27" s="21"/>
      <c r="AX27" s="21"/>
      <c r="AY27" s="21"/>
    </row>
    <row r="28" spans="2:53" x14ac:dyDescent="0.2">
      <c r="B28" s="5"/>
      <c r="C28" s="2"/>
      <c r="Y28" s="2"/>
      <c r="AA28" s="2"/>
      <c r="AC28" s="2"/>
      <c r="AD28" s="2"/>
      <c r="AH28" s="2"/>
      <c r="AI28" s="2"/>
      <c r="AW28" s="21"/>
      <c r="AX28" s="21"/>
      <c r="AY28" s="21"/>
    </row>
    <row r="29" spans="2:53" x14ac:dyDescent="0.2">
      <c r="B29" s="5"/>
      <c r="C29" s="2"/>
      <c r="Y29" s="2"/>
      <c r="AC29" s="2"/>
      <c r="AD29" s="2"/>
      <c r="AH29" s="2"/>
      <c r="AI29" s="2"/>
      <c r="AX29" s="21"/>
      <c r="AY29" s="21"/>
    </row>
    <row r="30" spans="2:53" x14ac:dyDescent="0.2">
      <c r="B30" s="5"/>
      <c r="Y30" s="2"/>
      <c r="AD30" s="2"/>
      <c r="AH30" s="2"/>
      <c r="AI30" s="2"/>
      <c r="AX30" s="21"/>
      <c r="AY30" s="21"/>
    </row>
    <row r="31" spans="2:53" x14ac:dyDescent="0.2">
      <c r="B31" s="5"/>
      <c r="C31" s="2"/>
      <c r="Y31" s="2"/>
      <c r="AD31" s="2"/>
      <c r="AX31" s="21"/>
      <c r="AY31" s="21"/>
    </row>
    <row r="32" spans="2:53" x14ac:dyDescent="0.2">
      <c r="B32" s="5"/>
      <c r="C32" s="2"/>
      <c r="Y32" s="2"/>
      <c r="AD32" s="2"/>
      <c r="AX32" s="21"/>
      <c r="BA32" s="21"/>
    </row>
    <row r="33" spans="1:53" x14ac:dyDescent="0.2">
      <c r="B33" s="5"/>
      <c r="C33" s="2"/>
      <c r="Y33" s="2"/>
      <c r="AD33" s="2"/>
      <c r="BA33" s="21"/>
    </row>
    <row r="34" spans="1:53" x14ac:dyDescent="0.2">
      <c r="B34" s="5"/>
      <c r="C34" s="2"/>
      <c r="Y34" s="2"/>
      <c r="AD34" s="2"/>
    </row>
    <row r="35" spans="1:53" x14ac:dyDescent="0.2">
      <c r="B35" s="5"/>
      <c r="C35" s="2"/>
      <c r="AD35" s="2"/>
    </row>
    <row r="36" spans="1:53" x14ac:dyDescent="0.2">
      <c r="B36" s="5"/>
      <c r="C36" s="2"/>
    </row>
    <row r="37" spans="1:53" x14ac:dyDescent="0.2">
      <c r="B37" s="5"/>
      <c r="C37" s="2"/>
    </row>
    <row r="38" spans="1:53" x14ac:dyDescent="0.2">
      <c r="B38" s="5"/>
      <c r="C38" s="2"/>
    </row>
    <row r="39" spans="1:53" x14ac:dyDescent="0.2">
      <c r="B39" s="5"/>
      <c r="C39" s="2"/>
    </row>
    <row r="47" spans="1:53" x14ac:dyDescent="0.2">
      <c r="A47" s="45"/>
      <c r="B47" s="45"/>
      <c r="C47" s="45"/>
      <c r="D47" s="46"/>
      <c r="E47" s="46"/>
      <c r="F47" s="46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</row>
    <row r="48" spans="1:53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7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</row>
    <row r="49" spans="1:49" x14ac:dyDescent="0.2">
      <c r="A49" s="45"/>
      <c r="B49" s="47"/>
      <c r="C49" s="48"/>
      <c r="D49" s="46"/>
      <c r="E49" s="48"/>
      <c r="F49" s="46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7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</row>
    <row r="50" spans="1:49" x14ac:dyDescent="0.2">
      <c r="A50" s="45"/>
      <c r="B50" s="47"/>
      <c r="C50" s="46"/>
      <c r="D50" s="46"/>
      <c r="E50" s="46"/>
      <c r="F50" s="46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7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</row>
    <row r="51" spans="1:49" x14ac:dyDescent="0.2">
      <c r="A51" s="45"/>
      <c r="B51" s="47"/>
      <c r="C51" s="48"/>
      <c r="D51" s="46"/>
      <c r="E51" s="48"/>
      <c r="F51" s="46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7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7"/>
      <c r="AT51" s="45"/>
      <c r="AU51" s="45"/>
      <c r="AV51" s="45"/>
      <c r="AW51" s="45"/>
    </row>
    <row r="52" spans="1:49" x14ac:dyDescent="0.2">
      <c r="A52" s="45"/>
      <c r="B52" s="47"/>
      <c r="C52" s="48"/>
      <c r="D52" s="46"/>
      <c r="E52" s="48"/>
      <c r="F52" s="46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7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7"/>
      <c r="AD52" s="48"/>
      <c r="AE52" s="46"/>
      <c r="AF52" s="48"/>
      <c r="AG52" s="46"/>
      <c r="AH52" s="45"/>
      <c r="AI52" s="46"/>
      <c r="AJ52" s="46"/>
      <c r="AK52" s="45"/>
      <c r="AL52" s="45"/>
      <c r="AM52" s="45"/>
      <c r="AN52" s="45"/>
      <c r="AO52" s="45"/>
      <c r="AP52" s="45"/>
      <c r="AQ52" s="45"/>
      <c r="AR52" s="45"/>
      <c r="AS52" s="47"/>
      <c r="AT52" s="45"/>
      <c r="AU52" s="45"/>
      <c r="AV52" s="45"/>
      <c r="AW52" s="45"/>
    </row>
    <row r="53" spans="1:49" x14ac:dyDescent="0.2">
      <c r="A53" s="45"/>
      <c r="B53" s="47"/>
      <c r="C53" s="45"/>
      <c r="D53" s="46"/>
      <c r="E53" s="45"/>
      <c r="F53" s="46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7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7"/>
      <c r="AD53" s="46"/>
      <c r="AE53" s="46"/>
      <c r="AF53" s="46"/>
      <c r="AG53" s="46"/>
      <c r="AH53" s="45"/>
      <c r="AI53" s="46"/>
      <c r="AJ53" s="46"/>
      <c r="AK53" s="45"/>
      <c r="AL53" s="45"/>
      <c r="AM53" s="45"/>
      <c r="AN53" s="45"/>
      <c r="AO53" s="45"/>
      <c r="AP53" s="45"/>
      <c r="AQ53" s="45"/>
      <c r="AR53" s="45"/>
      <c r="AS53" s="47"/>
      <c r="AT53" s="45"/>
      <c r="AU53" s="45"/>
      <c r="AV53" s="45"/>
      <c r="AW53" s="45"/>
    </row>
    <row r="54" spans="1:49" x14ac:dyDescent="0.2">
      <c r="A54" s="45"/>
      <c r="B54" s="47"/>
      <c r="C54" s="45"/>
      <c r="D54" s="46"/>
      <c r="E54" s="45"/>
      <c r="F54" s="46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7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7"/>
      <c r="AD54" s="48"/>
      <c r="AE54" s="46"/>
      <c r="AF54" s="48"/>
      <c r="AG54" s="46"/>
      <c r="AH54" s="45"/>
      <c r="AI54" s="46"/>
      <c r="AJ54" s="46"/>
      <c r="AK54" s="45"/>
      <c r="AL54" s="45"/>
      <c r="AM54" s="45"/>
      <c r="AN54" s="45"/>
      <c r="AO54" s="45"/>
      <c r="AP54" s="45"/>
      <c r="AQ54" s="45"/>
      <c r="AR54" s="45"/>
      <c r="AS54" s="47"/>
      <c r="AT54" s="45"/>
      <c r="AU54" s="45"/>
      <c r="AV54" s="45"/>
      <c r="AW54" s="45"/>
    </row>
    <row r="55" spans="1:49" x14ac:dyDescent="0.2">
      <c r="A55" s="45"/>
      <c r="B55" s="47"/>
      <c r="C55" s="45"/>
      <c r="D55" s="45"/>
      <c r="E55" s="45"/>
      <c r="F55" s="46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7"/>
      <c r="AD55" s="48"/>
      <c r="AE55" s="46"/>
      <c r="AF55" s="48"/>
      <c r="AG55" s="46"/>
      <c r="AH55" s="45"/>
      <c r="AI55" s="46"/>
      <c r="AJ55" s="46"/>
      <c r="AK55" s="45"/>
      <c r="AL55" s="45"/>
      <c r="AM55" s="45"/>
      <c r="AN55" s="45"/>
      <c r="AO55" s="45"/>
      <c r="AP55" s="45"/>
      <c r="AQ55" s="45"/>
      <c r="AR55" s="45"/>
      <c r="AS55" s="47"/>
      <c r="AT55" s="45"/>
      <c r="AU55" s="45"/>
      <c r="AV55" s="45"/>
      <c r="AW55" s="45"/>
    </row>
    <row r="56" spans="1:49" x14ac:dyDescent="0.2">
      <c r="A56" s="45"/>
      <c r="B56" s="47"/>
      <c r="C56" s="45"/>
      <c r="D56" s="46"/>
      <c r="E56" s="45"/>
      <c r="F56" s="46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7"/>
      <c r="AD56" s="45"/>
      <c r="AE56" s="46"/>
      <c r="AF56" s="45"/>
      <c r="AG56" s="46"/>
      <c r="AH56" s="45"/>
      <c r="AI56" s="46"/>
      <c r="AJ56" s="46"/>
      <c r="AK56" s="45"/>
      <c r="AL56" s="45"/>
      <c r="AM56" s="45"/>
      <c r="AN56" s="45"/>
      <c r="AO56" s="45"/>
      <c r="AP56" s="45"/>
      <c r="AQ56" s="45"/>
      <c r="AR56" s="45"/>
      <c r="AS56" s="47"/>
      <c r="AT56" s="45"/>
      <c r="AU56" s="45"/>
      <c r="AV56" s="45"/>
      <c r="AW56" s="45"/>
    </row>
    <row r="57" spans="1:49" x14ac:dyDescent="0.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7"/>
      <c r="AD57" s="45"/>
      <c r="AE57" s="46"/>
      <c r="AF57" s="45"/>
      <c r="AG57" s="46"/>
      <c r="AH57" s="45"/>
      <c r="AI57" s="46"/>
      <c r="AJ57" s="46"/>
      <c r="AK57" s="45"/>
      <c r="AL57" s="45"/>
      <c r="AM57" s="45"/>
      <c r="AN57" s="45"/>
      <c r="AO57" s="45"/>
      <c r="AP57" s="45"/>
      <c r="AQ57" s="45"/>
      <c r="AR57" s="45"/>
      <c r="AS57" s="47"/>
      <c r="AT57" s="45"/>
      <c r="AU57" s="45"/>
      <c r="AV57" s="45"/>
      <c r="AW57" s="45"/>
    </row>
    <row r="58" spans="1:49" x14ac:dyDescent="0.2">
      <c r="A58" s="45"/>
      <c r="B58" s="45"/>
      <c r="C58" s="45"/>
      <c r="D58" s="46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7"/>
      <c r="AD58" s="45"/>
      <c r="AE58" s="45"/>
      <c r="AF58" s="45"/>
      <c r="AG58" s="46"/>
      <c r="AH58" s="45"/>
      <c r="AI58" s="46"/>
      <c r="AJ58" s="46"/>
      <c r="AK58" s="45"/>
      <c r="AL58" s="45"/>
      <c r="AM58" s="45"/>
      <c r="AN58" s="45"/>
      <c r="AO58" s="45"/>
      <c r="AP58" s="45"/>
      <c r="AQ58" s="45"/>
      <c r="AR58" s="45"/>
      <c r="AS58" s="47"/>
      <c r="AT58" s="45"/>
      <c r="AU58" s="45"/>
      <c r="AV58" s="45"/>
      <c r="AW58" s="45"/>
    </row>
    <row r="59" spans="1:49" x14ac:dyDescent="0.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7"/>
      <c r="AD59" s="45"/>
      <c r="AE59" s="46"/>
      <c r="AF59" s="45"/>
      <c r="AG59" s="46"/>
      <c r="AH59" s="45"/>
      <c r="AI59" s="46"/>
      <c r="AJ59" s="46"/>
      <c r="AK59" s="45"/>
      <c r="AL59" s="45"/>
      <c r="AM59" s="45"/>
      <c r="AN59" s="45"/>
      <c r="AO59" s="45"/>
      <c r="AP59" s="45"/>
      <c r="AQ59" s="45"/>
      <c r="AR59" s="45"/>
      <c r="AS59" s="47"/>
      <c r="AT59" s="45"/>
      <c r="AU59" s="45"/>
      <c r="AV59" s="45"/>
      <c r="AW59" s="45"/>
    </row>
    <row r="60" spans="1:49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7"/>
      <c r="AD60" s="46"/>
      <c r="AE60" s="46"/>
      <c r="AF60" s="46"/>
      <c r="AG60" s="46"/>
      <c r="AH60" s="45"/>
      <c r="AI60" s="46"/>
      <c r="AJ60" s="46"/>
      <c r="AK60" s="45"/>
      <c r="AL60" s="45"/>
      <c r="AM60" s="45"/>
      <c r="AN60" s="45"/>
      <c r="AO60" s="45"/>
      <c r="AP60" s="45"/>
      <c r="AQ60" s="45"/>
      <c r="AR60" s="45"/>
      <c r="AS60" s="49"/>
      <c r="AT60" s="45"/>
      <c r="AU60" s="45"/>
      <c r="AV60" s="45"/>
      <c r="AW60" s="45"/>
    </row>
    <row r="61" spans="1:49" x14ac:dyDescent="0.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7"/>
      <c r="AD61" s="46"/>
      <c r="AE61" s="46"/>
      <c r="AF61" s="46"/>
      <c r="AG61" s="46"/>
      <c r="AH61" s="45"/>
      <c r="AI61" s="46"/>
      <c r="AJ61" s="46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</row>
    <row r="62" spans="1:49" x14ac:dyDescent="0.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9"/>
      <c r="AD62" s="45"/>
      <c r="AE62" s="46"/>
      <c r="AF62" s="46"/>
      <c r="AG62" s="46"/>
      <c r="AH62" s="45"/>
      <c r="AI62" s="46"/>
      <c r="AJ62" s="46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</row>
    <row r="63" spans="1:49" x14ac:dyDescent="0.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</row>
  </sheetData>
  <mergeCells count="173">
    <mergeCell ref="AD10:AE10"/>
    <mergeCell ref="AB13:AC13"/>
    <mergeCell ref="AD13:AE13"/>
    <mergeCell ref="AB7:AC7"/>
    <mergeCell ref="T13:U13"/>
    <mergeCell ref="V13:W13"/>
    <mergeCell ref="P13:Q13"/>
    <mergeCell ref="R13:S13"/>
    <mergeCell ref="V8:W8"/>
    <mergeCell ref="T8:U8"/>
    <mergeCell ref="Z13:AA13"/>
    <mergeCell ref="Z10:AA10"/>
    <mergeCell ref="AB10:AC10"/>
    <mergeCell ref="T10:U10"/>
    <mergeCell ref="V10:W10"/>
    <mergeCell ref="X10:Y10"/>
    <mergeCell ref="Z8:AA8"/>
    <mergeCell ref="AB8:AC8"/>
    <mergeCell ref="T9:U9"/>
    <mergeCell ref="V9:W9"/>
    <mergeCell ref="X9:Y9"/>
    <mergeCell ref="Z9:AA9"/>
    <mergeCell ref="AB9:AC9"/>
    <mergeCell ref="X8:Y8"/>
    <mergeCell ref="P6:Q6"/>
    <mergeCell ref="R6:S6"/>
    <mergeCell ref="T6:U6"/>
    <mergeCell ref="V6:W6"/>
    <mergeCell ref="X6:Y6"/>
    <mergeCell ref="N9:O9"/>
    <mergeCell ref="L13:M13"/>
    <mergeCell ref="N13:O13"/>
    <mergeCell ref="L8:M8"/>
    <mergeCell ref="L9:M9"/>
    <mergeCell ref="L10:M10"/>
    <mergeCell ref="N10:O10"/>
    <mergeCell ref="N8:O8"/>
    <mergeCell ref="R8:S8"/>
    <mergeCell ref="P10:Q10"/>
    <mergeCell ref="R10:S10"/>
    <mergeCell ref="P9:Q9"/>
    <mergeCell ref="R9:S9"/>
    <mergeCell ref="P8:Q8"/>
    <mergeCell ref="P7:Q7"/>
    <mergeCell ref="H10:I10"/>
    <mergeCell ref="F9:G9"/>
    <mergeCell ref="F10:G10"/>
    <mergeCell ref="J6:K6"/>
    <mergeCell ref="J4:K4"/>
    <mergeCell ref="A1:O1"/>
    <mergeCell ref="L4:M4"/>
    <mergeCell ref="N4:O4"/>
    <mergeCell ref="L5:M5"/>
    <mergeCell ref="L6:M6"/>
    <mergeCell ref="L7:M7"/>
    <mergeCell ref="N5:O5"/>
    <mergeCell ref="N6:O6"/>
    <mergeCell ref="N7:O7"/>
    <mergeCell ref="D6:E6"/>
    <mergeCell ref="D7:E7"/>
    <mergeCell ref="B3:AE3"/>
    <mergeCell ref="AD4:AE4"/>
    <mergeCell ref="AD5:AE5"/>
    <mergeCell ref="AD6:AE6"/>
    <mergeCell ref="AD7:AE7"/>
    <mergeCell ref="V7:W7"/>
    <mergeCell ref="X7:Y7"/>
    <mergeCell ref="T7:U7"/>
    <mergeCell ref="H6:I6"/>
    <mergeCell ref="H7:I7"/>
    <mergeCell ref="H8:I8"/>
    <mergeCell ref="H9:I9"/>
    <mergeCell ref="F4:G4"/>
    <mergeCell ref="F5:G5"/>
    <mergeCell ref="F6:G6"/>
    <mergeCell ref="F7:G7"/>
    <mergeCell ref="F8:G8"/>
    <mergeCell ref="Z7:AA7"/>
    <mergeCell ref="R7:S7"/>
    <mergeCell ref="X13:Y13"/>
    <mergeCell ref="B13:C13"/>
    <mergeCell ref="D13:E13"/>
    <mergeCell ref="B4:C4"/>
    <mergeCell ref="B5:C5"/>
    <mergeCell ref="B6:C6"/>
    <mergeCell ref="B7:C7"/>
    <mergeCell ref="B8:C8"/>
    <mergeCell ref="B9:C9"/>
    <mergeCell ref="B10:C10"/>
    <mergeCell ref="D10:E10"/>
    <mergeCell ref="D8:E8"/>
    <mergeCell ref="D9:E9"/>
    <mergeCell ref="J13:K13"/>
    <mergeCell ref="J5:K5"/>
    <mergeCell ref="J7:K7"/>
    <mergeCell ref="J8:K8"/>
    <mergeCell ref="J9:K9"/>
    <mergeCell ref="J10:K10"/>
    <mergeCell ref="H4:I4"/>
    <mergeCell ref="H13:I13"/>
    <mergeCell ref="H5:I5"/>
    <mergeCell ref="AF7:AG7"/>
    <mergeCell ref="AH7:AI7"/>
    <mergeCell ref="AF8:AG8"/>
    <mergeCell ref="AH8:AI8"/>
    <mergeCell ref="F13:G13"/>
    <mergeCell ref="A13:A14"/>
    <mergeCell ref="D4:E4"/>
    <mergeCell ref="D5:E5"/>
    <mergeCell ref="Z4:AA4"/>
    <mergeCell ref="AB4:AC4"/>
    <mergeCell ref="P5:Q5"/>
    <mergeCell ref="R5:S5"/>
    <mergeCell ref="T5:U5"/>
    <mergeCell ref="V5:W5"/>
    <mergeCell ref="X5:Y5"/>
    <mergeCell ref="Z5:AA5"/>
    <mergeCell ref="AB5:AC5"/>
    <mergeCell ref="P4:Q4"/>
    <mergeCell ref="R4:S4"/>
    <mergeCell ref="T4:U4"/>
    <mergeCell ref="V4:W4"/>
    <mergeCell ref="X4:Y4"/>
    <mergeCell ref="Z6:AA6"/>
    <mergeCell ref="AB6:AC6"/>
    <mergeCell ref="AN3:AQ3"/>
    <mergeCell ref="AN13:AO13"/>
    <mergeCell ref="AP13:AQ13"/>
    <mergeCell ref="AD8:AE8"/>
    <mergeCell ref="AD9:AE9"/>
    <mergeCell ref="AF3:AM3"/>
    <mergeCell ref="AF9:AG9"/>
    <mergeCell ref="AH9:AI9"/>
    <mergeCell ref="AF10:AG10"/>
    <mergeCell ref="AH10:AI10"/>
    <mergeCell ref="AF13:AG13"/>
    <mergeCell ref="AH13:AI13"/>
    <mergeCell ref="AJ4:AK4"/>
    <mergeCell ref="AL4:AM4"/>
    <mergeCell ref="AJ5:AK5"/>
    <mergeCell ref="AL5:AM5"/>
    <mergeCell ref="AJ6:AK6"/>
    <mergeCell ref="AL6:AM6"/>
    <mergeCell ref="AJ7:AK7"/>
    <mergeCell ref="AL7:AM7"/>
    <mergeCell ref="AJ8:AK8"/>
    <mergeCell ref="AL8:AM8"/>
    <mergeCell ref="AJ9:AK9"/>
    <mergeCell ref="AL9:AM9"/>
    <mergeCell ref="AL13:AM13"/>
    <mergeCell ref="AF4:AG4"/>
    <mergeCell ref="AN4:AO4"/>
    <mergeCell ref="AP4:AQ4"/>
    <mergeCell ref="AN5:AO5"/>
    <mergeCell ref="AP5:AQ5"/>
    <mergeCell ref="AN6:AO6"/>
    <mergeCell ref="AP6:AQ6"/>
    <mergeCell ref="AN7:AO7"/>
    <mergeCell ref="AP7:AQ7"/>
    <mergeCell ref="AN8:AO8"/>
    <mergeCell ref="AP8:AQ8"/>
    <mergeCell ref="AN9:AO9"/>
    <mergeCell ref="AP9:AQ9"/>
    <mergeCell ref="AN10:AO10"/>
    <mergeCell ref="AP10:AQ10"/>
    <mergeCell ref="AJ10:AK10"/>
    <mergeCell ref="AL10:AM10"/>
    <mergeCell ref="AJ13:AK13"/>
    <mergeCell ref="AH4:AI4"/>
    <mergeCell ref="AF5:AG5"/>
    <mergeCell ref="AH5:AI5"/>
    <mergeCell ref="AF6:AG6"/>
    <mergeCell ref="AH6:AI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9BC1-7ED0-4649-8AC7-8E2D0AA194D6}">
  <dimension ref="A1:F10"/>
  <sheetViews>
    <sheetView tabSelected="1" zoomScale="106" workbookViewId="0">
      <selection activeCell="D46" sqref="D46"/>
    </sheetView>
  </sheetViews>
  <sheetFormatPr baseColWidth="10" defaultRowHeight="16" x14ac:dyDescent="0.2"/>
  <cols>
    <col min="1" max="1" width="13" customWidth="1"/>
    <col min="3" max="3" width="19.5" customWidth="1"/>
    <col min="4" max="4" width="20.5" customWidth="1"/>
  </cols>
  <sheetData>
    <row r="1" spans="1:6" x14ac:dyDescent="0.2">
      <c r="A1" t="s">
        <v>31</v>
      </c>
      <c r="B1" t="s">
        <v>30</v>
      </c>
      <c r="C1" t="s">
        <v>32</v>
      </c>
      <c r="D1" t="s">
        <v>33</v>
      </c>
      <c r="E1" t="s">
        <v>37</v>
      </c>
      <c r="F1" t="s">
        <v>38</v>
      </c>
    </row>
    <row r="2" spans="1:6" x14ac:dyDescent="0.2">
      <c r="A2" s="25" t="s">
        <v>34</v>
      </c>
      <c r="B2">
        <v>2023</v>
      </c>
      <c r="C2" s="17">
        <v>59.46444444444446</v>
      </c>
      <c r="D2" s="17">
        <v>34.738888888888887</v>
      </c>
      <c r="E2" s="17">
        <v>16.927530611184586</v>
      </c>
      <c r="F2" s="17">
        <v>11.135083861048944</v>
      </c>
    </row>
    <row r="3" spans="1:6" x14ac:dyDescent="0.2">
      <c r="A3" s="25" t="s">
        <v>34</v>
      </c>
      <c r="B3">
        <v>2024</v>
      </c>
      <c r="C3" s="17">
        <v>56.423888888888889</v>
      </c>
      <c r="D3" s="17">
        <v>18.456666666666667</v>
      </c>
      <c r="E3" s="17">
        <v>4.6916996249089058</v>
      </c>
      <c r="F3" s="17">
        <v>3.5150296347731156</v>
      </c>
    </row>
    <row r="4" spans="1:6" x14ac:dyDescent="0.2">
      <c r="A4" s="25" t="s">
        <v>34</v>
      </c>
      <c r="B4">
        <v>2025</v>
      </c>
      <c r="C4" s="17">
        <v>68.74499999999999</v>
      </c>
      <c r="D4" s="17">
        <v>12.855555555555556</v>
      </c>
      <c r="E4" s="17">
        <v>8.4488357186064373</v>
      </c>
      <c r="F4" s="17">
        <v>9.1219206879383137</v>
      </c>
    </row>
    <row r="5" spans="1:6" x14ac:dyDescent="0.2">
      <c r="A5" s="25" t="s">
        <v>35</v>
      </c>
      <c r="B5">
        <v>2023</v>
      </c>
      <c r="C5" s="17">
        <v>0</v>
      </c>
      <c r="D5" s="17">
        <v>100</v>
      </c>
      <c r="E5" s="17">
        <v>0</v>
      </c>
      <c r="F5" s="17">
        <v>0</v>
      </c>
    </row>
    <row r="6" spans="1:6" x14ac:dyDescent="0.2">
      <c r="A6" s="25" t="s">
        <v>35</v>
      </c>
      <c r="B6">
        <v>2024</v>
      </c>
      <c r="C6" s="17">
        <v>32.717222222222219</v>
      </c>
      <c r="D6" s="17">
        <v>99.505555555555546</v>
      </c>
      <c r="E6" s="17">
        <v>13.704963854722843</v>
      </c>
      <c r="F6" s="17">
        <v>0.13574213025411025</v>
      </c>
    </row>
    <row r="7" spans="1:6" x14ac:dyDescent="0.2">
      <c r="A7" s="25" t="s">
        <v>40</v>
      </c>
      <c r="B7">
        <v>2025</v>
      </c>
      <c r="C7" s="17">
        <v>9.298333333333332</v>
      </c>
      <c r="D7" s="17">
        <v>86.48833333333333</v>
      </c>
      <c r="E7" s="17">
        <v>10.608347473151088</v>
      </c>
      <c r="F7" s="17">
        <v>19.705998734170102</v>
      </c>
    </row>
    <row r="8" spans="1:6" x14ac:dyDescent="0.2">
      <c r="A8" t="s">
        <v>36</v>
      </c>
      <c r="B8">
        <v>2023</v>
      </c>
      <c r="C8" s="17">
        <f>100-C2</f>
        <v>40.53555555555554</v>
      </c>
      <c r="D8" s="17">
        <v>0</v>
      </c>
      <c r="E8" s="17">
        <f>E2</f>
        <v>16.927530611184586</v>
      </c>
      <c r="F8" s="17">
        <v>0</v>
      </c>
    </row>
    <row r="9" spans="1:6" x14ac:dyDescent="0.2">
      <c r="A9" t="s">
        <v>36</v>
      </c>
      <c r="B9">
        <v>2024</v>
      </c>
      <c r="C9" s="17">
        <f>100-(C3+C6)</f>
        <v>10.858888888888885</v>
      </c>
      <c r="D9" s="17">
        <v>0</v>
      </c>
      <c r="E9" s="17">
        <f>AVERAGE(E3,E6)</f>
        <v>9.1983317398158739</v>
      </c>
      <c r="F9" s="17">
        <f>F6</f>
        <v>0.13574213025411025</v>
      </c>
    </row>
    <row r="10" spans="1:6" x14ac:dyDescent="0.2">
      <c r="A10" t="s">
        <v>36</v>
      </c>
      <c r="B10">
        <v>2025</v>
      </c>
      <c r="C10" s="17">
        <f>100-(C4+C7)</f>
        <v>21.956666666666678</v>
      </c>
      <c r="D10" s="17">
        <v>14</v>
      </c>
      <c r="E10" s="17">
        <f>AVERAGE(E4,E7)</f>
        <v>9.5285915958787619</v>
      </c>
      <c r="F10" s="17">
        <f>F7</f>
        <v>19.705998734170102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S.alt % cover in 2023</vt:lpstr>
      <vt:lpstr>multi-yr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宇扬 王</dc:creator>
  <cp:lastModifiedBy>Yuyang Wang</cp:lastModifiedBy>
  <dcterms:created xsi:type="dcterms:W3CDTF">2023-07-07T22:14:31Z</dcterms:created>
  <dcterms:modified xsi:type="dcterms:W3CDTF">2025-09-12T20:34:01Z</dcterms:modified>
</cp:coreProperties>
</file>