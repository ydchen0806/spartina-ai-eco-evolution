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yangwang/Duke Bio_Ea Dropbox/Yuyang Wang/Research/MBL 2023 Summer/2025/Data Deposition/Elevation/"/>
    </mc:Choice>
  </mc:AlternateContent>
  <xr:revisionPtr revIDLastSave="0" documentId="13_ncr:1_{D40146FA-29D3-F444-B583-B32777AA24A4}" xr6:coauthVersionLast="47" xr6:coauthVersionMax="47" xr10:uidLastSave="{00000000-0000-0000-0000-000000000000}"/>
  <bookViews>
    <workbookView xWindow="0" yWindow="0" windowWidth="33600" windowHeight="21000" activeTab="3" xr2:uid="{D389754A-A759-A64E-A32B-552225C2EC5E}"/>
  </bookViews>
  <sheets>
    <sheet name="annotations" sheetId="1" r:id="rId1"/>
    <sheet name="raw data measured in 2023" sheetId="2" r:id="rId2"/>
    <sheet name="digitized 1984 data " sheetId="3" r:id="rId3"/>
    <sheet name="summari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4" l="1"/>
  <c r="E45" i="4"/>
  <c r="D45" i="4"/>
  <c r="C45" i="4"/>
  <c r="F44" i="4"/>
  <c r="E44" i="4"/>
  <c r="D44" i="4"/>
  <c r="C44" i="4"/>
  <c r="F43" i="4"/>
  <c r="E43" i="4"/>
  <c r="D43" i="4"/>
  <c r="C43" i="4"/>
  <c r="F42" i="4"/>
  <c r="E42" i="4"/>
  <c r="D42" i="4"/>
  <c r="C42" i="4"/>
  <c r="F41" i="4"/>
  <c r="E41" i="4"/>
  <c r="D41" i="4"/>
  <c r="C41" i="4"/>
  <c r="F40" i="4"/>
  <c r="E40" i="4"/>
  <c r="D40" i="4"/>
  <c r="C40" i="4"/>
  <c r="F39" i="4"/>
  <c r="E39" i="4"/>
  <c r="D39" i="4"/>
  <c r="C39" i="4"/>
  <c r="F38" i="4"/>
  <c r="E38" i="4"/>
  <c r="D38" i="4"/>
  <c r="C38" i="4"/>
  <c r="F37" i="4"/>
  <c r="E37" i="4"/>
  <c r="D37" i="4"/>
  <c r="C37" i="4"/>
  <c r="F36" i="4"/>
  <c r="E36" i="4"/>
  <c r="D36" i="4"/>
  <c r="C36" i="4"/>
  <c r="C24" i="3"/>
  <c r="D24" i="3"/>
  <c r="E24" i="3"/>
  <c r="F24" i="3"/>
  <c r="G24" i="3"/>
  <c r="H24" i="3"/>
  <c r="I24" i="3"/>
  <c r="J24" i="3"/>
  <c r="K24" i="3"/>
  <c r="L24" i="3"/>
  <c r="M24" i="3"/>
  <c r="N24" i="3"/>
  <c r="C23" i="3"/>
  <c r="D23" i="3"/>
  <c r="E23" i="3"/>
  <c r="F23" i="3"/>
  <c r="G23" i="3"/>
  <c r="H23" i="3"/>
  <c r="I23" i="3"/>
  <c r="J23" i="3"/>
  <c r="K23" i="3"/>
  <c r="L23" i="3"/>
  <c r="M23" i="3"/>
  <c r="N23" i="3"/>
  <c r="C22" i="3"/>
  <c r="D22" i="3"/>
  <c r="E22" i="3"/>
  <c r="F22" i="3"/>
  <c r="G22" i="3"/>
  <c r="H22" i="3"/>
  <c r="I22" i="3"/>
  <c r="J22" i="3"/>
  <c r="K22" i="3"/>
  <c r="L22" i="3"/>
  <c r="M22" i="3"/>
  <c r="N22" i="3"/>
  <c r="C21" i="3"/>
  <c r="D21" i="3"/>
  <c r="E21" i="3"/>
  <c r="F21" i="3"/>
  <c r="G21" i="3"/>
  <c r="H21" i="3"/>
  <c r="I21" i="3"/>
  <c r="J21" i="3"/>
  <c r="K21" i="3"/>
  <c r="L21" i="3"/>
  <c r="M21" i="3"/>
  <c r="N21" i="3"/>
  <c r="C20" i="3"/>
  <c r="D20" i="3"/>
  <c r="E20" i="3"/>
  <c r="F20" i="3"/>
  <c r="G20" i="3"/>
  <c r="H20" i="3"/>
  <c r="I20" i="3"/>
  <c r="J20" i="3"/>
  <c r="K20" i="3"/>
  <c r="L20" i="3"/>
  <c r="M20" i="3"/>
  <c r="N20" i="3"/>
  <c r="C19" i="3"/>
  <c r="D19" i="3"/>
  <c r="E19" i="3"/>
  <c r="F19" i="3"/>
  <c r="G19" i="3"/>
  <c r="H19" i="3"/>
  <c r="I19" i="3"/>
  <c r="J19" i="3"/>
  <c r="K19" i="3"/>
  <c r="L19" i="3"/>
  <c r="M19" i="3"/>
  <c r="N19" i="3"/>
  <c r="C18" i="3"/>
  <c r="D18" i="3"/>
  <c r="E18" i="3"/>
  <c r="F18" i="3"/>
  <c r="G18" i="3"/>
  <c r="H18" i="3"/>
  <c r="I18" i="3"/>
  <c r="J18" i="3"/>
  <c r="K18" i="3"/>
  <c r="L18" i="3"/>
  <c r="M18" i="3"/>
  <c r="N18" i="3"/>
  <c r="C17" i="3"/>
  <c r="D17" i="3"/>
  <c r="E17" i="3"/>
  <c r="F17" i="3"/>
  <c r="G17" i="3"/>
  <c r="H17" i="3"/>
  <c r="I17" i="3"/>
  <c r="J17" i="3"/>
  <c r="K17" i="3"/>
  <c r="L17" i="3"/>
  <c r="M17" i="3"/>
  <c r="N17" i="3"/>
  <c r="B24" i="3"/>
  <c r="B23" i="3"/>
  <c r="B22" i="3"/>
  <c r="B21" i="3"/>
  <c r="B20" i="3"/>
  <c r="B19" i="3"/>
  <c r="B18" i="3"/>
  <c r="B17" i="3"/>
  <c r="C16" i="3"/>
  <c r="D16" i="3"/>
  <c r="E16" i="3"/>
  <c r="F16" i="3"/>
  <c r="G16" i="3"/>
  <c r="H16" i="3"/>
  <c r="I16" i="3"/>
  <c r="J16" i="3"/>
  <c r="K16" i="3"/>
  <c r="L16" i="3"/>
  <c r="M16" i="3"/>
  <c r="N16" i="3"/>
  <c r="B16" i="3"/>
</calcChain>
</file>

<file path=xl/sharedStrings.xml><?xml version="1.0" encoding="utf-8"?>
<sst xmlns="http://schemas.openxmlformats.org/spreadsheetml/2006/main" count="156" uniqueCount="67">
  <si>
    <t>point #</t>
    <phoneticPr fontId="0" type="noConversion"/>
  </si>
  <si>
    <t>R1</t>
    <phoneticPr fontId="0" type="noConversion"/>
  </si>
  <si>
    <t>R2</t>
    <phoneticPr fontId="0" type="noConversion"/>
  </si>
  <si>
    <t>R3</t>
    <phoneticPr fontId="0" type="noConversion"/>
  </si>
  <si>
    <t>R1:</t>
    <phoneticPr fontId="0" type="noConversion"/>
  </si>
  <si>
    <t>R2:</t>
    <phoneticPr fontId="0" type="noConversion"/>
  </si>
  <si>
    <t>R3:</t>
    <phoneticPr fontId="0" type="noConversion"/>
  </si>
  <si>
    <t>bare:</t>
    <phoneticPr fontId="0" type="noConversion"/>
  </si>
  <si>
    <t>P.aus:</t>
    <phoneticPr fontId="0" type="noConversion"/>
  </si>
  <si>
    <t>Phragmites australis</t>
    <phoneticPr fontId="0" type="noConversion"/>
  </si>
  <si>
    <t>S.alt_T:</t>
    <phoneticPr fontId="0" type="noConversion"/>
  </si>
  <si>
    <t>S.alt_S:</t>
    <phoneticPr fontId="0" type="noConversion"/>
  </si>
  <si>
    <t>S.pat:</t>
    <phoneticPr fontId="0" type="noConversion"/>
  </si>
  <si>
    <t>D.spi:</t>
    <phoneticPr fontId="0" type="noConversion"/>
  </si>
  <si>
    <t>L.car:</t>
    <phoneticPr fontId="0" type="noConversion"/>
  </si>
  <si>
    <t>S.eur:</t>
    <phoneticPr fontId="0" type="noConversion"/>
  </si>
  <si>
    <t>Iva:</t>
    <phoneticPr fontId="0" type="noConversion"/>
  </si>
  <si>
    <t>bare ground (no vegetation)</t>
  </si>
  <si>
    <t>% cover in each elevation bin</t>
    <phoneticPr fontId="0" type="noConversion"/>
  </si>
  <si>
    <t>elevation (m)</t>
    <phoneticPr fontId="0" type="noConversion"/>
  </si>
  <si>
    <t>bare</t>
  </si>
  <si>
    <t>P.aus</t>
  </si>
  <si>
    <t>S.alt_T</t>
  </si>
  <si>
    <t>Iva</t>
  </si>
  <si>
    <t>% cover in each elevation bin</t>
  </si>
  <si>
    <t>0.0-0.1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</si>
  <si>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</si>
  <si>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</si>
  <si>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</si>
  <si>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</si>
  <si>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</si>
  <si>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</si>
  <si>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</si>
  <si>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</si>
  <si>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0.9-1.0</t>
  </si>
  <si>
    <t>elevation(m)</t>
  </si>
  <si>
    <t>S.altT</t>
  </si>
  <si>
    <t>S.alt S</t>
  </si>
  <si>
    <t>Sv</t>
  </si>
  <si>
    <t>Se</t>
  </si>
  <si>
    <t>Sp</t>
  </si>
  <si>
    <t>Ds</t>
  </si>
  <si>
    <t>Lc</t>
  </si>
  <si>
    <t>Pj</t>
  </si>
  <si>
    <t>At</t>
  </si>
  <si>
    <t>Sb</t>
  </si>
  <si>
    <t>juncus</t>
  </si>
  <si>
    <t>sum</t>
  </si>
  <si>
    <t>Sv, Se, Sp, Ds, Lc, Pj, At, Sb, juncus, Iva in the "digitized 1984 data" tab are all high marsh species</t>
  </si>
  <si>
    <t>Spartina patens (high marsh species)</t>
  </si>
  <si>
    <t>Distichilis spicate  (high marsh species)</t>
  </si>
  <si>
    <t>Limonium carolinianum (high marsh species)</t>
  </si>
  <si>
    <t>Salicornia europaea  (high marsh species)</t>
  </si>
  <si>
    <t>Iva frutescens  (high marsh species)</t>
  </si>
  <si>
    <t>Spartina alterniflora tall form (low marsh species)</t>
  </si>
  <si>
    <t>Spartina alterniflora short form (low marsh species)</t>
  </si>
  <si>
    <t>plot#</t>
  </si>
  <si>
    <t>elevation (m)</t>
  </si>
  <si>
    <t>S.alt</t>
  </si>
  <si>
    <t>HM</t>
  </si>
  <si>
    <t>R1</t>
  </si>
  <si>
    <t>R2</t>
  </si>
  <si>
    <t>R3</t>
  </si>
  <si>
    <t>2023 summary</t>
  </si>
  <si>
    <t>replicate transect 1 in 2023</t>
  </si>
  <si>
    <t>replicate transect 2 in 2023</t>
  </si>
  <si>
    <t>replicate transect 3 in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</si>
</sst>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00000000"/>
    <numFmt numFmtId="166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Aptos Narrow"/>
      <family val="2"/>
      <charset val="134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" fontId="0" fillId="0" borderId="0" xfId="0" applyNumberFormat="1"/>
    <xf numFmtId="0" fontId="2" fillId="0" borderId="0" xfId="0" applyFont="1" applyAlignment="1">
      <alignment horizontal="left" vertical="center" indent="3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F2DA-D6E8-424F-B6D0-72BECF9CE524}">
  <dimension ref="A1:B15"/>
  <sheetViews>
    <sheetView workbookViewId="0">
      <selection activeCell="F5" sqref="F5"/>
    </sheetView>
  </sheetViews>
  <sheetFormatPr baseColWidth="10" defaultRowHeight="16" x14ac:dyDescent="0.2"/>
  <sheetData>
    <row r="1" spans="1:2" x14ac:dyDescent="0.2">
      <c r="A1" s="1" t="s">
        <v>4</v>
      </c>
      <c r="B1" s="1" t="s">
        <v>64</v>
      </c>
    </row>
    <row r="2" spans="1:2" x14ac:dyDescent="0.2">
      <c r="A2" s="1" t="s">
        <v>5</v>
      </c>
      <c r="B2" s="1" t="s">
        <v>65</v>
      </c>
    </row>
    <row r="3" spans="1:2" x14ac:dyDescent="0.2">
      <c r="A3" s="1" t="s">
        <v>6</v>
      </c>
      <c r="B3" s="1" t="s">
        <v>66</v>
      </c>
    </row>
    <row r="4" spans="1:2" x14ac:dyDescent="0.2">
      <c r="A4" s="1"/>
      <c r="B4" s="1"/>
    </row>
    <row r="5" spans="1:2" x14ac:dyDescent="0.2">
      <c r="A5" s="2" t="s">
        <v>7</v>
      </c>
      <c r="B5" s="1" t="s">
        <v>17</v>
      </c>
    </row>
    <row r="6" spans="1:2" x14ac:dyDescent="0.2">
      <c r="A6" s="2" t="s">
        <v>8</v>
      </c>
      <c r="B6" s="1" t="s">
        <v>9</v>
      </c>
    </row>
    <row r="7" spans="1:2" x14ac:dyDescent="0.2">
      <c r="A7" s="2" t="s">
        <v>10</v>
      </c>
      <c r="B7" s="1" t="s">
        <v>54</v>
      </c>
    </row>
    <row r="8" spans="1:2" x14ac:dyDescent="0.2">
      <c r="A8" s="2" t="s">
        <v>11</v>
      </c>
      <c r="B8" s="1" t="s">
        <v>55</v>
      </c>
    </row>
    <row r="9" spans="1:2" x14ac:dyDescent="0.2">
      <c r="A9" s="2" t="s">
        <v>12</v>
      </c>
      <c r="B9" s="1" t="s">
        <v>49</v>
      </c>
    </row>
    <row r="10" spans="1:2" x14ac:dyDescent="0.2">
      <c r="A10" s="2" t="s">
        <v>13</v>
      </c>
      <c r="B10" s="1" t="s">
        <v>50</v>
      </c>
    </row>
    <row r="11" spans="1:2" x14ac:dyDescent="0.2">
      <c r="A11" s="2" t="s">
        <v>14</v>
      </c>
      <c r="B11" s="1" t="s">
        <v>51</v>
      </c>
    </row>
    <row r="12" spans="1:2" x14ac:dyDescent="0.2">
      <c r="A12" s="2" t="s">
        <v>15</v>
      </c>
      <c r="B12" s="1" t="s">
        <v>52</v>
      </c>
    </row>
    <row r="13" spans="1:2" x14ac:dyDescent="0.2">
      <c r="A13" s="2" t="s">
        <v>16</v>
      </c>
      <c r="B13" s="1" t="s">
        <v>53</v>
      </c>
    </row>
    <row r="15" spans="1:2" x14ac:dyDescent="0.2">
      <c r="A15" s="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ACC0-2E62-044F-94D9-649CB4BAAA22}">
  <dimension ref="A1:K71"/>
  <sheetViews>
    <sheetView topLeftCell="A13" workbookViewId="0">
      <selection activeCell="F50" sqref="F50"/>
    </sheetView>
  </sheetViews>
  <sheetFormatPr baseColWidth="10" defaultRowHeight="16" x14ac:dyDescent="0.2"/>
  <sheetData>
    <row r="1" spans="1:11" x14ac:dyDescent="0.2">
      <c r="A1" s="3" t="s">
        <v>1</v>
      </c>
      <c r="B1" s="1"/>
      <c r="C1" s="4" t="s">
        <v>18</v>
      </c>
      <c r="D1" s="4"/>
      <c r="E1" s="4"/>
      <c r="F1" s="4"/>
      <c r="G1" s="4"/>
      <c r="H1" s="4"/>
      <c r="I1" s="4"/>
      <c r="J1" s="4"/>
      <c r="K1" s="4"/>
    </row>
    <row r="2" spans="1:11" x14ac:dyDescent="0.2">
      <c r="A2" s="2" t="s">
        <v>0</v>
      </c>
      <c r="B2" s="5" t="s">
        <v>19</v>
      </c>
      <c r="C2" s="2" t="s">
        <v>20</v>
      </c>
      <c r="D2" s="2" t="s">
        <v>21</v>
      </c>
      <c r="E2" s="2" t="s">
        <v>22</v>
      </c>
      <c r="F2" s="2"/>
      <c r="G2" s="2"/>
      <c r="H2" s="2"/>
      <c r="I2" s="2"/>
      <c r="J2" s="2"/>
      <c r="K2" s="2"/>
    </row>
    <row r="3" spans="1:11" x14ac:dyDescent="0.2">
      <c r="A3" s="2">
        <v>1</v>
      </c>
      <c r="B3" s="6">
        <v>0.32100000000000001</v>
      </c>
      <c r="C3" s="2">
        <v>20</v>
      </c>
      <c r="D3" s="2">
        <v>0</v>
      </c>
      <c r="E3" s="2">
        <v>80</v>
      </c>
      <c r="F3" s="2"/>
      <c r="G3" s="2"/>
      <c r="H3" s="2"/>
      <c r="I3" s="2"/>
      <c r="J3" s="2"/>
      <c r="K3" s="2"/>
    </row>
    <row r="4" spans="1:11" x14ac:dyDescent="0.2">
      <c r="A4" s="2">
        <v>2</v>
      </c>
      <c r="B4" s="6">
        <v>0.35899999999999999</v>
      </c>
      <c r="C4" s="2">
        <v>20</v>
      </c>
      <c r="D4" s="2">
        <v>0</v>
      </c>
      <c r="E4" s="2">
        <v>80</v>
      </c>
      <c r="F4" s="2"/>
      <c r="G4" s="2"/>
      <c r="H4" s="2"/>
      <c r="I4" s="2"/>
      <c r="J4" s="2"/>
      <c r="K4" s="2"/>
    </row>
    <row r="5" spans="1:11" x14ac:dyDescent="0.2">
      <c r="A5" s="2">
        <v>3</v>
      </c>
      <c r="B5" s="6">
        <v>0.39900000000000002</v>
      </c>
      <c r="C5" s="2">
        <v>20</v>
      </c>
      <c r="D5" s="2">
        <v>0</v>
      </c>
      <c r="E5" s="2">
        <v>80</v>
      </c>
      <c r="F5" s="2"/>
      <c r="G5" s="2"/>
      <c r="H5" s="2"/>
      <c r="I5" s="2"/>
      <c r="J5" s="2"/>
      <c r="K5" s="2"/>
    </row>
    <row r="6" spans="1:11" x14ac:dyDescent="0.2">
      <c r="A6" s="2">
        <v>4</v>
      </c>
      <c r="B6" s="6">
        <v>0.41399999999999998</v>
      </c>
      <c r="C6" s="2">
        <v>20</v>
      </c>
      <c r="D6" s="2">
        <v>0</v>
      </c>
      <c r="E6" s="2">
        <v>80</v>
      </c>
      <c r="F6" s="2"/>
      <c r="G6" s="2"/>
      <c r="H6" s="2"/>
      <c r="I6" s="2"/>
      <c r="J6" s="2"/>
      <c r="K6" s="2"/>
    </row>
    <row r="7" spans="1:11" x14ac:dyDescent="0.2">
      <c r="A7" s="2">
        <v>5</v>
      </c>
      <c r="B7" s="6">
        <v>0.436</v>
      </c>
      <c r="C7" s="2">
        <v>20</v>
      </c>
      <c r="D7" s="2">
        <v>0</v>
      </c>
      <c r="E7" s="2">
        <v>80</v>
      </c>
      <c r="F7" s="2"/>
      <c r="G7" s="2"/>
      <c r="H7" s="2"/>
      <c r="I7" s="2"/>
      <c r="J7" s="2"/>
      <c r="K7" s="2"/>
    </row>
    <row r="8" spans="1:11" x14ac:dyDescent="0.2">
      <c r="A8" s="2">
        <v>6</v>
      </c>
      <c r="B8" s="6">
        <v>0.45300000000000001</v>
      </c>
      <c r="C8" s="2">
        <v>20</v>
      </c>
      <c r="D8" s="2">
        <v>0</v>
      </c>
      <c r="E8" s="2">
        <v>80</v>
      </c>
      <c r="F8" s="2"/>
      <c r="G8" s="2"/>
      <c r="H8" s="2"/>
      <c r="I8" s="2"/>
      <c r="J8" s="2"/>
      <c r="K8" s="2"/>
    </row>
    <row r="9" spans="1:11" x14ac:dyDescent="0.2">
      <c r="A9" s="2">
        <v>7</v>
      </c>
      <c r="B9" s="6">
        <v>0.38500000000000001</v>
      </c>
      <c r="C9" s="2">
        <v>20</v>
      </c>
      <c r="D9" s="2">
        <v>0</v>
      </c>
      <c r="E9" s="2">
        <v>80</v>
      </c>
      <c r="F9" s="2"/>
      <c r="G9" s="2"/>
      <c r="H9" s="2"/>
      <c r="I9" s="2"/>
      <c r="J9" s="2"/>
      <c r="K9" s="2"/>
    </row>
    <row r="10" spans="1:11" x14ac:dyDescent="0.2">
      <c r="A10" s="2">
        <v>8</v>
      </c>
      <c r="B10" s="6">
        <v>0.42099999999999999</v>
      </c>
      <c r="C10" s="2">
        <v>20</v>
      </c>
      <c r="D10" s="2">
        <v>0</v>
      </c>
      <c r="E10" s="2">
        <v>80</v>
      </c>
      <c r="F10" s="2"/>
      <c r="G10" s="2"/>
      <c r="H10" s="2"/>
      <c r="I10" s="2"/>
      <c r="J10" s="2"/>
      <c r="K10" s="2"/>
    </row>
    <row r="11" spans="1:11" x14ac:dyDescent="0.2">
      <c r="A11" s="2">
        <v>9</v>
      </c>
      <c r="B11" s="6">
        <v>0.44800000000000001</v>
      </c>
      <c r="C11" s="2">
        <v>20</v>
      </c>
      <c r="D11" s="2">
        <v>0</v>
      </c>
      <c r="E11" s="2">
        <v>80</v>
      </c>
      <c r="F11" s="2"/>
      <c r="G11" s="2"/>
      <c r="H11" s="2"/>
      <c r="I11" s="2"/>
      <c r="J11" s="2"/>
      <c r="K11" s="2"/>
    </row>
    <row r="12" spans="1:11" x14ac:dyDescent="0.2">
      <c r="A12" s="2">
        <v>10</v>
      </c>
      <c r="B12" s="6">
        <v>0.441</v>
      </c>
      <c r="C12" s="2">
        <v>10</v>
      </c>
      <c r="D12" s="2">
        <v>20</v>
      </c>
      <c r="E12" s="2">
        <v>70</v>
      </c>
      <c r="F12" s="2"/>
      <c r="G12" s="2"/>
      <c r="H12" s="2"/>
      <c r="I12" s="2"/>
      <c r="J12" s="2"/>
      <c r="K12" s="2"/>
    </row>
    <row r="13" spans="1:11" x14ac:dyDescent="0.2">
      <c r="A13" s="2">
        <v>11</v>
      </c>
      <c r="B13" s="6">
        <v>0.442</v>
      </c>
      <c r="C13" s="2">
        <v>10</v>
      </c>
      <c r="D13" s="2">
        <v>20</v>
      </c>
      <c r="E13" s="2">
        <v>70</v>
      </c>
      <c r="F13" s="2"/>
      <c r="G13" s="2"/>
      <c r="H13" s="2"/>
      <c r="I13" s="2"/>
      <c r="J13" s="2"/>
      <c r="K13" s="2"/>
    </row>
    <row r="14" spans="1:11" x14ac:dyDescent="0.2">
      <c r="A14" s="2">
        <v>12</v>
      </c>
      <c r="B14" s="6">
        <v>0.47</v>
      </c>
      <c r="C14" s="2">
        <v>20</v>
      </c>
      <c r="D14" s="2">
        <v>0</v>
      </c>
      <c r="E14" s="2">
        <v>80</v>
      </c>
      <c r="F14" s="2"/>
      <c r="G14" s="2"/>
      <c r="H14" s="2"/>
      <c r="I14" s="2"/>
      <c r="J14" s="2"/>
      <c r="K14" s="2"/>
    </row>
    <row r="15" spans="1:11" x14ac:dyDescent="0.2">
      <c r="A15" s="2">
        <v>13</v>
      </c>
      <c r="B15" s="6">
        <v>0.47699999999999998</v>
      </c>
      <c r="C15" s="2">
        <v>10</v>
      </c>
      <c r="D15" s="2">
        <v>20</v>
      </c>
      <c r="E15" s="2">
        <v>70</v>
      </c>
      <c r="F15" s="2"/>
      <c r="G15" s="2"/>
      <c r="H15" s="2"/>
      <c r="I15" s="2"/>
      <c r="J15" s="2"/>
      <c r="K15" s="2"/>
    </row>
    <row r="16" spans="1:11" x14ac:dyDescent="0.2">
      <c r="A16" s="2">
        <v>14</v>
      </c>
      <c r="B16" s="6">
        <v>0.504</v>
      </c>
      <c r="C16" s="2">
        <v>10</v>
      </c>
      <c r="D16" s="2">
        <v>20</v>
      </c>
      <c r="E16" s="2">
        <v>70</v>
      </c>
      <c r="F16" s="2"/>
      <c r="G16" s="2"/>
      <c r="H16" s="2"/>
      <c r="I16" s="2"/>
      <c r="J16" s="2"/>
      <c r="K16" s="2"/>
    </row>
    <row r="17" spans="1:11" x14ac:dyDescent="0.2">
      <c r="A17" s="2">
        <v>15</v>
      </c>
      <c r="B17" s="6">
        <v>0.53300000000000003</v>
      </c>
      <c r="C17" s="2">
        <v>10</v>
      </c>
      <c r="D17" s="2">
        <v>20</v>
      </c>
      <c r="E17" s="2">
        <v>70</v>
      </c>
      <c r="F17" s="2"/>
      <c r="G17" s="2"/>
      <c r="H17" s="2"/>
      <c r="I17" s="2"/>
      <c r="J17" s="2"/>
      <c r="K17" s="2"/>
    </row>
    <row r="18" spans="1:11" x14ac:dyDescent="0.2">
      <c r="A18" s="2">
        <v>16</v>
      </c>
      <c r="B18" s="6">
        <v>0.57399999999999995</v>
      </c>
      <c r="C18" s="2">
        <v>10</v>
      </c>
      <c r="D18" s="2">
        <v>20</v>
      </c>
      <c r="E18" s="2">
        <v>70</v>
      </c>
      <c r="F18" s="2"/>
      <c r="G18" s="2"/>
      <c r="H18" s="2"/>
      <c r="I18" s="2"/>
      <c r="J18" s="2"/>
      <c r="K18" s="2"/>
    </row>
    <row r="19" spans="1:11" x14ac:dyDescent="0.2">
      <c r="A19" s="2">
        <v>17</v>
      </c>
      <c r="B19" s="6">
        <v>0.58599999999999997</v>
      </c>
      <c r="C19" s="2">
        <v>10</v>
      </c>
      <c r="D19" s="2">
        <v>20</v>
      </c>
      <c r="E19" s="2">
        <v>70</v>
      </c>
      <c r="F19" s="2"/>
      <c r="G19" s="2"/>
      <c r="H19" s="2"/>
      <c r="I19" s="2"/>
      <c r="J19" s="2"/>
      <c r="K19" s="2"/>
    </row>
    <row r="20" spans="1:11" x14ac:dyDescent="0.2">
      <c r="A20" s="2">
        <v>18</v>
      </c>
      <c r="B20" s="6">
        <v>0.61499999999999999</v>
      </c>
      <c r="C20" s="2">
        <v>10</v>
      </c>
      <c r="D20" s="2">
        <v>20</v>
      </c>
      <c r="E20" s="2">
        <v>70</v>
      </c>
      <c r="F20" s="2"/>
      <c r="G20" s="2"/>
      <c r="H20" s="2"/>
      <c r="I20" s="2"/>
      <c r="J20" s="2"/>
      <c r="K20" s="2"/>
    </row>
    <row r="21" spans="1:11" x14ac:dyDescent="0.2">
      <c r="A21" s="2">
        <v>19</v>
      </c>
      <c r="B21" s="6">
        <v>0.60899999999999999</v>
      </c>
      <c r="C21" s="2">
        <v>10</v>
      </c>
      <c r="D21" s="2">
        <v>85</v>
      </c>
      <c r="E21" s="2">
        <v>5</v>
      </c>
      <c r="F21" s="2"/>
      <c r="G21" s="2"/>
      <c r="H21" s="2"/>
      <c r="I21" s="2"/>
      <c r="J21" s="2"/>
      <c r="K21" s="2"/>
    </row>
    <row r="22" spans="1:11" x14ac:dyDescent="0.2">
      <c r="A22" s="2">
        <v>20</v>
      </c>
      <c r="B22" s="6">
        <v>0.624</v>
      </c>
      <c r="C22" s="2">
        <v>10</v>
      </c>
      <c r="D22" s="2">
        <v>85</v>
      </c>
      <c r="E22" s="2">
        <v>5</v>
      </c>
      <c r="F22" s="2"/>
      <c r="G22" s="2"/>
      <c r="H22" s="2"/>
      <c r="I22" s="2"/>
      <c r="J22" s="2"/>
      <c r="K22" s="2"/>
    </row>
    <row r="23" spans="1:11" x14ac:dyDescent="0.2">
      <c r="A23" s="2">
        <v>21</v>
      </c>
      <c r="B23" s="6">
        <v>0.63900000000000001</v>
      </c>
      <c r="C23" s="2">
        <v>10</v>
      </c>
      <c r="D23" s="2">
        <v>85</v>
      </c>
      <c r="E23" s="2">
        <v>5</v>
      </c>
      <c r="F23" s="2"/>
      <c r="G23" s="2"/>
      <c r="H23" s="2"/>
      <c r="I23" s="2"/>
      <c r="J23" s="2"/>
      <c r="K23" s="2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3" t="s">
        <v>2</v>
      </c>
      <c r="B25" s="1"/>
      <c r="C25" s="4" t="s">
        <v>18</v>
      </c>
      <c r="D25" s="4"/>
      <c r="E25" s="4"/>
      <c r="F25" s="1"/>
      <c r="G25" s="1"/>
      <c r="H25" s="1"/>
      <c r="I25" s="1"/>
      <c r="J25" s="1"/>
      <c r="K25" s="1"/>
    </row>
    <row r="26" spans="1:11" x14ac:dyDescent="0.2">
      <c r="A26" s="2" t="s">
        <v>0</v>
      </c>
      <c r="B26" s="5" t="s">
        <v>19</v>
      </c>
      <c r="C26" s="2" t="s">
        <v>20</v>
      </c>
      <c r="D26" s="2" t="s">
        <v>21</v>
      </c>
      <c r="E26" s="2" t="s">
        <v>22</v>
      </c>
      <c r="F26" s="1"/>
      <c r="G26" s="1"/>
      <c r="H26" s="1"/>
      <c r="I26" s="1"/>
      <c r="J26" s="1"/>
      <c r="K26" s="1"/>
    </row>
    <row r="27" spans="1:11" x14ac:dyDescent="0.2">
      <c r="A27" s="2">
        <v>1</v>
      </c>
      <c r="B27" s="1">
        <v>0.16800000000000001</v>
      </c>
      <c r="C27" s="2">
        <v>0</v>
      </c>
      <c r="D27" s="2">
        <v>0</v>
      </c>
      <c r="E27" s="2">
        <v>100</v>
      </c>
      <c r="F27" s="1"/>
      <c r="G27" s="1"/>
      <c r="H27" s="1"/>
      <c r="I27" s="1"/>
      <c r="J27" s="1"/>
      <c r="K27" s="1"/>
    </row>
    <row r="28" spans="1:11" x14ac:dyDescent="0.2">
      <c r="A28" s="2">
        <v>2</v>
      </c>
      <c r="B28" s="1">
        <v>0.17499999999999999</v>
      </c>
      <c r="C28" s="2">
        <v>0</v>
      </c>
      <c r="D28" s="2">
        <v>0</v>
      </c>
      <c r="E28" s="2">
        <v>100</v>
      </c>
      <c r="F28" s="1"/>
      <c r="G28" s="1"/>
      <c r="H28" s="1"/>
      <c r="I28" s="1"/>
      <c r="J28" s="1"/>
      <c r="K28" s="1"/>
    </row>
    <row r="29" spans="1:11" x14ac:dyDescent="0.2">
      <c r="A29" s="2">
        <v>3</v>
      </c>
      <c r="B29" s="1">
        <v>0.219</v>
      </c>
      <c r="C29" s="2">
        <v>0</v>
      </c>
      <c r="D29" s="2">
        <v>0</v>
      </c>
      <c r="E29" s="2">
        <v>100</v>
      </c>
      <c r="F29" s="1"/>
      <c r="G29" s="1"/>
      <c r="H29" s="1"/>
      <c r="I29" s="1"/>
      <c r="J29" s="1"/>
      <c r="K29" s="1"/>
    </row>
    <row r="30" spans="1:11" x14ac:dyDescent="0.2">
      <c r="A30" s="2">
        <v>4</v>
      </c>
      <c r="B30" s="1">
        <v>0.26200000000000001</v>
      </c>
      <c r="C30" s="2">
        <v>0</v>
      </c>
      <c r="D30" s="2">
        <v>0</v>
      </c>
      <c r="E30" s="2">
        <v>100</v>
      </c>
      <c r="F30" s="1"/>
      <c r="G30" s="1"/>
      <c r="H30" s="1"/>
      <c r="I30" s="1"/>
      <c r="J30" s="1"/>
      <c r="K30" s="1"/>
    </row>
    <row r="31" spans="1:11" x14ac:dyDescent="0.2">
      <c r="A31" s="2">
        <v>5</v>
      </c>
      <c r="B31" s="1">
        <v>0.25</v>
      </c>
      <c r="C31" s="2">
        <v>0</v>
      </c>
      <c r="D31" s="2">
        <v>0</v>
      </c>
      <c r="E31" s="2">
        <v>100</v>
      </c>
      <c r="F31" s="1"/>
      <c r="G31" s="1"/>
      <c r="H31" s="1"/>
      <c r="I31" s="1"/>
      <c r="J31" s="1"/>
      <c r="K31" s="1"/>
    </row>
    <row r="32" spans="1:11" x14ac:dyDescent="0.2">
      <c r="A32" s="2">
        <v>6</v>
      </c>
      <c r="B32" s="1">
        <v>0.28899999999999998</v>
      </c>
      <c r="C32" s="2">
        <v>0</v>
      </c>
      <c r="D32" s="2">
        <v>0</v>
      </c>
      <c r="E32" s="2">
        <v>100</v>
      </c>
      <c r="F32" s="1"/>
      <c r="G32" s="1"/>
      <c r="H32" s="1"/>
      <c r="I32" s="1"/>
      <c r="J32" s="1"/>
      <c r="K32" s="1"/>
    </row>
    <row r="33" spans="1:11" x14ac:dyDescent="0.2">
      <c r="A33" s="2">
        <v>7</v>
      </c>
      <c r="B33" s="1">
        <v>0.33200000000000002</v>
      </c>
      <c r="C33" s="2">
        <v>0</v>
      </c>
      <c r="D33" s="2">
        <v>0</v>
      </c>
      <c r="E33" s="2">
        <v>100</v>
      </c>
      <c r="F33" s="1"/>
      <c r="G33" s="1"/>
      <c r="H33" s="1"/>
      <c r="I33" s="1"/>
      <c r="J33" s="1"/>
      <c r="K33" s="1"/>
    </row>
    <row r="34" spans="1:11" x14ac:dyDescent="0.2">
      <c r="A34" s="2">
        <v>8</v>
      </c>
      <c r="B34" s="1">
        <v>0.32300000000000001</v>
      </c>
      <c r="C34" s="2">
        <v>0</v>
      </c>
      <c r="D34" s="2">
        <v>0</v>
      </c>
      <c r="E34" s="2">
        <v>100</v>
      </c>
      <c r="F34" s="1"/>
      <c r="G34" s="1"/>
      <c r="H34" s="1"/>
      <c r="I34" s="1"/>
      <c r="J34" s="1"/>
      <c r="K34" s="1"/>
    </row>
    <row r="35" spans="1:11" x14ac:dyDescent="0.2">
      <c r="A35" s="2">
        <v>9</v>
      </c>
      <c r="B35" s="1">
        <v>0.33900000000000002</v>
      </c>
      <c r="C35" s="2">
        <v>0</v>
      </c>
      <c r="D35" s="2">
        <v>0</v>
      </c>
      <c r="E35" s="2">
        <v>100</v>
      </c>
      <c r="F35" s="1"/>
      <c r="G35" s="1"/>
      <c r="H35" s="1"/>
      <c r="I35" s="1"/>
      <c r="J35" s="1"/>
      <c r="K35" s="1"/>
    </row>
    <row r="36" spans="1:11" x14ac:dyDescent="0.2">
      <c r="A36" s="2">
        <v>10</v>
      </c>
      <c r="B36" s="1">
        <v>0.39</v>
      </c>
      <c r="C36" s="2">
        <v>0</v>
      </c>
      <c r="D36" s="2">
        <v>0</v>
      </c>
      <c r="E36" s="2">
        <v>100</v>
      </c>
      <c r="F36" s="1"/>
      <c r="G36" s="1"/>
      <c r="H36" s="1"/>
      <c r="I36" s="1"/>
      <c r="J36" s="1"/>
      <c r="K36" s="1"/>
    </row>
    <row r="37" spans="1:11" x14ac:dyDescent="0.2">
      <c r="A37" s="2">
        <v>11</v>
      </c>
      <c r="B37" s="1">
        <v>0.36799999999999999</v>
      </c>
      <c r="C37" s="2">
        <v>0</v>
      </c>
      <c r="D37" s="2">
        <v>30</v>
      </c>
      <c r="E37" s="2">
        <v>70</v>
      </c>
      <c r="F37" s="1"/>
      <c r="G37" s="1"/>
      <c r="H37" s="1"/>
      <c r="I37" s="1"/>
      <c r="J37" s="1"/>
      <c r="K37" s="1"/>
    </row>
    <row r="38" spans="1:11" x14ac:dyDescent="0.2">
      <c r="A38" s="2">
        <v>12</v>
      </c>
      <c r="B38" s="1">
        <v>0.34</v>
      </c>
      <c r="C38" s="2">
        <v>0</v>
      </c>
      <c r="D38" s="2">
        <v>30</v>
      </c>
      <c r="E38" s="2">
        <v>70</v>
      </c>
      <c r="F38" s="1"/>
      <c r="G38" s="1"/>
      <c r="H38" s="1"/>
      <c r="I38" s="1"/>
      <c r="J38" s="1"/>
      <c r="K38" s="1"/>
    </row>
    <row r="39" spans="1:11" x14ac:dyDescent="0.2">
      <c r="A39" s="2">
        <v>13</v>
      </c>
      <c r="B39" s="1">
        <v>0.46600000000000003</v>
      </c>
      <c r="C39" s="2">
        <v>0</v>
      </c>
      <c r="D39" s="2">
        <v>100</v>
      </c>
      <c r="E39" s="2">
        <v>0</v>
      </c>
      <c r="F39" s="1"/>
      <c r="G39" s="1"/>
      <c r="H39" s="1"/>
      <c r="I39" s="1"/>
      <c r="J39" s="1"/>
      <c r="K39" s="1"/>
    </row>
    <row r="40" spans="1:11" x14ac:dyDescent="0.2">
      <c r="A40" s="2">
        <v>14</v>
      </c>
      <c r="B40" s="1">
        <v>0.45300000000000001</v>
      </c>
      <c r="C40" s="2">
        <v>0</v>
      </c>
      <c r="D40" s="2">
        <v>100</v>
      </c>
      <c r="E40" s="2">
        <v>0</v>
      </c>
      <c r="F40" s="1"/>
      <c r="G40" s="1"/>
      <c r="H40" s="1"/>
      <c r="I40" s="1"/>
      <c r="J40" s="1"/>
      <c r="K40" s="1"/>
    </row>
    <row r="41" spans="1:11" x14ac:dyDescent="0.2">
      <c r="A41" s="2">
        <v>15</v>
      </c>
      <c r="B41" s="1">
        <v>0.47799999999999998</v>
      </c>
      <c r="C41" s="2">
        <v>0</v>
      </c>
      <c r="D41" s="2">
        <v>100</v>
      </c>
      <c r="E41" s="2">
        <v>0</v>
      </c>
      <c r="F41" s="1"/>
      <c r="G41" s="1"/>
      <c r="H41" s="1"/>
      <c r="I41" s="1"/>
      <c r="J41" s="1"/>
      <c r="K41" s="1"/>
    </row>
    <row r="42" spans="1:11" x14ac:dyDescent="0.2">
      <c r="A42" s="2">
        <v>16</v>
      </c>
      <c r="B42" s="1">
        <v>0.504</v>
      </c>
      <c r="C42" s="2">
        <v>0</v>
      </c>
      <c r="D42" s="2">
        <v>100</v>
      </c>
      <c r="E42" s="2">
        <v>0</v>
      </c>
      <c r="F42" s="1"/>
      <c r="G42" s="1"/>
      <c r="H42" s="1"/>
      <c r="I42" s="1"/>
      <c r="J42" s="1"/>
      <c r="K42" s="1"/>
    </row>
    <row r="43" spans="1:11" x14ac:dyDescent="0.2">
      <c r="A43" s="2">
        <v>17</v>
      </c>
      <c r="B43" s="1">
        <v>0.505</v>
      </c>
      <c r="C43" s="2">
        <v>0</v>
      </c>
      <c r="D43" s="2">
        <v>100</v>
      </c>
      <c r="E43" s="2">
        <v>0</v>
      </c>
      <c r="F43" s="1"/>
      <c r="G43" s="1"/>
      <c r="H43" s="1"/>
      <c r="I43" s="1"/>
      <c r="J43" s="1"/>
      <c r="K43" s="1"/>
    </row>
    <row r="44" spans="1:11" x14ac:dyDescent="0.2">
      <c r="A44" s="2">
        <v>18</v>
      </c>
      <c r="B44" s="1">
        <v>0.49</v>
      </c>
      <c r="C44" s="2">
        <v>0</v>
      </c>
      <c r="D44" s="2">
        <v>100</v>
      </c>
      <c r="E44" s="2">
        <v>0</v>
      </c>
      <c r="F44" s="1"/>
      <c r="G44" s="1"/>
      <c r="H44" s="1"/>
      <c r="I44" s="1"/>
      <c r="J44" s="1"/>
      <c r="K44" s="1"/>
    </row>
    <row r="45" spans="1:11" x14ac:dyDescent="0.2">
      <c r="A45" s="2">
        <v>19</v>
      </c>
      <c r="B45" s="1">
        <v>0.62</v>
      </c>
      <c r="C45" s="2">
        <v>0</v>
      </c>
      <c r="D45" s="2">
        <v>100</v>
      </c>
      <c r="E45" s="2">
        <v>0</v>
      </c>
      <c r="F45" s="1"/>
      <c r="G45" s="1"/>
      <c r="H45" s="1"/>
      <c r="I45" s="1"/>
      <c r="J45" s="1"/>
      <c r="K45" s="1"/>
    </row>
    <row r="46" spans="1:11" x14ac:dyDescent="0.2">
      <c r="A46" s="2">
        <v>20</v>
      </c>
      <c r="B46" s="1">
        <v>0.622</v>
      </c>
      <c r="C46" s="2">
        <v>0</v>
      </c>
      <c r="D46" s="2">
        <v>100</v>
      </c>
      <c r="E46" s="2">
        <v>0</v>
      </c>
      <c r="F46" s="1"/>
      <c r="G46" s="1"/>
      <c r="H46" s="1"/>
      <c r="I46" s="1"/>
      <c r="J46" s="1"/>
      <c r="K46" s="1"/>
    </row>
    <row r="47" spans="1:11" x14ac:dyDescent="0.2">
      <c r="A47" s="2">
        <v>21</v>
      </c>
      <c r="B47" s="1">
        <v>0.69899999999999995</v>
      </c>
      <c r="C47" s="2">
        <v>0</v>
      </c>
      <c r="D47" s="2">
        <v>100</v>
      </c>
      <c r="E47" s="2">
        <v>0</v>
      </c>
      <c r="F47" s="1"/>
      <c r="G47" s="1"/>
      <c r="H47" s="1"/>
      <c r="I47" s="1"/>
      <c r="J47" s="1"/>
      <c r="K47" s="1"/>
    </row>
    <row r="48" spans="1:1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3" t="s">
        <v>3</v>
      </c>
      <c r="B49" s="1"/>
      <c r="C49" s="4" t="s">
        <v>18</v>
      </c>
      <c r="D49" s="4"/>
      <c r="E49" s="4"/>
      <c r="F49" s="1"/>
      <c r="G49" s="1"/>
      <c r="H49" s="1"/>
      <c r="I49" s="1"/>
      <c r="J49" s="1"/>
      <c r="K49" s="1"/>
    </row>
    <row r="50" spans="1:11" x14ac:dyDescent="0.2">
      <c r="A50" s="2" t="s">
        <v>0</v>
      </c>
      <c r="B50" s="5" t="s">
        <v>19</v>
      </c>
      <c r="C50" s="2" t="s">
        <v>20</v>
      </c>
      <c r="D50" s="2" t="s">
        <v>21</v>
      </c>
      <c r="E50" s="2" t="s">
        <v>22</v>
      </c>
      <c r="F50" s="1"/>
      <c r="G50" s="1"/>
      <c r="H50" s="1"/>
      <c r="I50" s="1"/>
      <c r="J50" s="1"/>
      <c r="K50" s="1"/>
    </row>
    <row r="51" spans="1:11" x14ac:dyDescent="0.2">
      <c r="A51" s="2">
        <v>1</v>
      </c>
      <c r="B51" s="1">
        <v>0.58399999999999996</v>
      </c>
      <c r="C51" s="2">
        <v>0</v>
      </c>
      <c r="D51" s="2">
        <v>0</v>
      </c>
      <c r="E51" s="2">
        <v>100</v>
      </c>
      <c r="F51" s="1"/>
      <c r="G51" s="1"/>
      <c r="H51" s="1"/>
      <c r="I51" s="1"/>
      <c r="J51" s="1"/>
      <c r="K51" s="1"/>
    </row>
    <row r="52" spans="1:11" x14ac:dyDescent="0.2">
      <c r="A52" s="2">
        <v>2</v>
      </c>
      <c r="B52" s="1">
        <v>0.6</v>
      </c>
      <c r="C52" s="2">
        <v>0</v>
      </c>
      <c r="D52" s="2">
        <v>0</v>
      </c>
      <c r="E52" s="2">
        <v>100</v>
      </c>
      <c r="F52" s="1"/>
      <c r="G52" s="1"/>
      <c r="H52" s="1"/>
      <c r="I52" s="1"/>
      <c r="J52" s="1"/>
      <c r="K52" s="1"/>
    </row>
    <row r="53" spans="1:11" x14ac:dyDescent="0.2">
      <c r="A53" s="2">
        <v>3</v>
      </c>
      <c r="B53" s="1">
        <v>0.51100000000000001</v>
      </c>
      <c r="C53" s="2">
        <v>0</v>
      </c>
      <c r="D53" s="2">
        <v>0</v>
      </c>
      <c r="E53" s="2">
        <v>100</v>
      </c>
      <c r="F53" s="1"/>
      <c r="G53" s="1"/>
      <c r="H53" s="1"/>
      <c r="I53" s="1"/>
      <c r="J53" s="1"/>
      <c r="K53" s="1"/>
    </row>
    <row r="54" spans="1:11" x14ac:dyDescent="0.2">
      <c r="A54" s="2">
        <v>4</v>
      </c>
      <c r="B54" s="1">
        <v>0.60099999999999998</v>
      </c>
      <c r="C54" s="2">
        <v>0</v>
      </c>
      <c r="D54" s="2">
        <v>0</v>
      </c>
      <c r="E54" s="2">
        <v>100</v>
      </c>
      <c r="F54" s="1"/>
      <c r="G54" s="1"/>
      <c r="H54" s="1"/>
      <c r="I54" s="1"/>
      <c r="J54" s="1"/>
      <c r="K54" s="1"/>
    </row>
    <row r="55" spans="1:11" x14ac:dyDescent="0.2">
      <c r="A55" s="2">
        <v>5</v>
      </c>
      <c r="B55" s="1">
        <v>0.61399999999999999</v>
      </c>
      <c r="C55" s="2">
        <v>0</v>
      </c>
      <c r="D55" s="2">
        <v>0</v>
      </c>
      <c r="E55" s="2">
        <v>100</v>
      </c>
      <c r="F55" s="1"/>
      <c r="G55" s="1"/>
      <c r="H55" s="1"/>
      <c r="I55" s="1"/>
      <c r="J55" s="1"/>
      <c r="K55" s="1"/>
    </row>
    <row r="56" spans="1:11" x14ac:dyDescent="0.2">
      <c r="A56" s="2">
        <v>6</v>
      </c>
      <c r="B56" s="1">
        <v>0.61399999999999999</v>
      </c>
      <c r="C56" s="2">
        <v>0</v>
      </c>
      <c r="D56" s="2">
        <v>0</v>
      </c>
      <c r="E56" s="2">
        <v>100</v>
      </c>
      <c r="F56" s="1"/>
      <c r="G56" s="1"/>
      <c r="H56" s="1"/>
      <c r="I56" s="1"/>
      <c r="J56" s="1"/>
      <c r="K56" s="1"/>
    </row>
    <row r="57" spans="1:11" x14ac:dyDescent="0.2">
      <c r="A57" s="2">
        <v>7</v>
      </c>
      <c r="B57" s="1">
        <v>0.63800000000000001</v>
      </c>
      <c r="C57" s="2">
        <v>0</v>
      </c>
      <c r="D57" s="2">
        <v>0</v>
      </c>
      <c r="E57" s="2">
        <v>100</v>
      </c>
      <c r="F57" s="1"/>
      <c r="G57" s="1"/>
      <c r="H57" s="1"/>
      <c r="I57" s="1"/>
      <c r="J57" s="1"/>
      <c r="K57" s="1"/>
    </row>
    <row r="58" spans="1:11" x14ac:dyDescent="0.2">
      <c r="A58" s="2">
        <v>8</v>
      </c>
      <c r="B58" s="1">
        <v>0.61899999999999999</v>
      </c>
      <c r="C58" s="2">
        <v>0</v>
      </c>
      <c r="D58" s="2">
        <v>30</v>
      </c>
      <c r="E58" s="2">
        <v>70</v>
      </c>
      <c r="F58" s="1"/>
      <c r="G58" s="1"/>
      <c r="H58" s="1"/>
      <c r="I58" s="1"/>
      <c r="J58" s="1"/>
      <c r="K58" s="1"/>
    </row>
    <row r="59" spans="1:11" x14ac:dyDescent="0.2">
      <c r="A59" s="2">
        <v>9</v>
      </c>
      <c r="B59" s="1">
        <v>0.61499999999999999</v>
      </c>
      <c r="C59" s="2">
        <v>0</v>
      </c>
      <c r="D59" s="2">
        <v>0</v>
      </c>
      <c r="E59" s="2">
        <v>100</v>
      </c>
      <c r="F59" s="1"/>
      <c r="G59" s="1"/>
      <c r="H59" s="1"/>
      <c r="I59" s="1"/>
      <c r="J59" s="1"/>
      <c r="K59" s="1"/>
    </row>
    <row r="60" spans="1:11" x14ac:dyDescent="0.2">
      <c r="A60" s="2">
        <v>10</v>
      </c>
      <c r="B60" s="1">
        <v>0.64400000000000002</v>
      </c>
      <c r="C60" s="2">
        <v>0</v>
      </c>
      <c r="D60" s="2">
        <v>30</v>
      </c>
      <c r="E60" s="2">
        <v>70</v>
      </c>
      <c r="F60" s="1"/>
      <c r="G60" s="1"/>
      <c r="H60" s="1"/>
      <c r="I60" s="1"/>
      <c r="J60" s="1"/>
      <c r="K60" s="1"/>
    </row>
    <row r="61" spans="1:11" x14ac:dyDescent="0.2">
      <c r="A61" s="2">
        <v>11</v>
      </c>
      <c r="B61" s="1">
        <v>0.62</v>
      </c>
      <c r="C61" s="2">
        <v>0</v>
      </c>
      <c r="D61" s="2">
        <v>30</v>
      </c>
      <c r="E61" s="2">
        <v>70</v>
      </c>
      <c r="F61" s="1"/>
      <c r="G61" s="1"/>
      <c r="H61" s="1"/>
      <c r="I61" s="1"/>
      <c r="J61" s="1"/>
      <c r="K61" s="1"/>
    </row>
    <row r="62" spans="1:11" x14ac:dyDescent="0.2">
      <c r="A62" s="2">
        <v>12</v>
      </c>
      <c r="B62" s="1">
        <v>0.63700000000000001</v>
      </c>
      <c r="C62" s="2">
        <v>0</v>
      </c>
      <c r="D62" s="2">
        <v>30</v>
      </c>
      <c r="E62" s="2">
        <v>70</v>
      </c>
      <c r="F62" s="1"/>
      <c r="G62" s="1"/>
      <c r="H62" s="1"/>
      <c r="I62" s="1"/>
      <c r="J62" s="1"/>
      <c r="K62" s="1"/>
    </row>
    <row r="63" spans="1:11" x14ac:dyDescent="0.2">
      <c r="A63" s="2">
        <v>13</v>
      </c>
      <c r="B63" s="1">
        <v>0.63400000000000001</v>
      </c>
      <c r="C63" s="2">
        <v>0</v>
      </c>
      <c r="D63" s="2">
        <v>30</v>
      </c>
      <c r="E63" s="2">
        <v>70</v>
      </c>
      <c r="F63" s="1"/>
      <c r="G63" s="1"/>
      <c r="H63" s="1"/>
      <c r="I63" s="1"/>
      <c r="J63" s="1"/>
      <c r="K63" s="1"/>
    </row>
    <row r="64" spans="1:11" x14ac:dyDescent="0.2">
      <c r="A64" s="2">
        <v>14</v>
      </c>
      <c r="B64" s="1">
        <v>0.63800000000000001</v>
      </c>
      <c r="C64" s="2">
        <v>0</v>
      </c>
      <c r="D64" s="2">
        <v>30</v>
      </c>
      <c r="E64" s="2">
        <v>70</v>
      </c>
      <c r="F64" s="1"/>
      <c r="G64" s="1"/>
      <c r="H64" s="1"/>
      <c r="I64" s="1"/>
      <c r="J64" s="1"/>
      <c r="K64" s="1"/>
    </row>
    <row r="65" spans="1:11" x14ac:dyDescent="0.2">
      <c r="A65" s="2">
        <v>15</v>
      </c>
      <c r="B65" s="1">
        <v>0.6</v>
      </c>
      <c r="C65" s="2">
        <v>0</v>
      </c>
      <c r="D65" s="2">
        <v>60</v>
      </c>
      <c r="E65" s="2">
        <v>40</v>
      </c>
      <c r="F65" s="1"/>
      <c r="G65" s="1"/>
      <c r="H65" s="1"/>
      <c r="I65" s="1"/>
      <c r="J65" s="1"/>
      <c r="K65" s="1"/>
    </row>
    <row r="66" spans="1:11" x14ac:dyDescent="0.2">
      <c r="A66" s="2">
        <v>16</v>
      </c>
      <c r="B66" s="1">
        <v>0.60499999999999998</v>
      </c>
      <c r="C66" s="2">
        <v>0</v>
      </c>
      <c r="D66" s="2">
        <v>60</v>
      </c>
      <c r="E66" s="2">
        <v>40</v>
      </c>
      <c r="F66" s="1"/>
      <c r="G66" s="1"/>
      <c r="H66" s="1"/>
      <c r="I66" s="1"/>
      <c r="J66" s="1"/>
      <c r="K66" s="1"/>
    </row>
    <row r="67" spans="1:11" x14ac:dyDescent="0.2">
      <c r="A67" s="2">
        <v>17</v>
      </c>
      <c r="B67" s="1">
        <v>0.58199999999999996</v>
      </c>
      <c r="C67" s="2">
        <v>10</v>
      </c>
      <c r="D67" s="2">
        <v>0</v>
      </c>
      <c r="E67" s="2">
        <v>90</v>
      </c>
      <c r="F67" s="1"/>
      <c r="G67" s="1"/>
      <c r="H67" s="1"/>
      <c r="I67" s="1"/>
      <c r="J67" s="1"/>
      <c r="K67" s="1"/>
    </row>
    <row r="68" spans="1:11" x14ac:dyDescent="0.2">
      <c r="A68" s="2">
        <v>18</v>
      </c>
      <c r="B68" s="1">
        <v>0.58399999999999996</v>
      </c>
      <c r="C68" s="2">
        <v>10</v>
      </c>
      <c r="D68" s="2">
        <v>0</v>
      </c>
      <c r="E68" s="2">
        <v>90</v>
      </c>
      <c r="F68" s="1"/>
      <c r="G68" s="1"/>
      <c r="H68" s="1"/>
      <c r="I68" s="1"/>
      <c r="J68" s="1"/>
      <c r="K68" s="1"/>
    </row>
    <row r="69" spans="1:11" x14ac:dyDescent="0.2">
      <c r="A69" s="2">
        <v>19</v>
      </c>
      <c r="B69" s="1">
        <v>0.55900000000000005</v>
      </c>
      <c r="C69" s="2">
        <v>0</v>
      </c>
      <c r="D69" s="2">
        <v>60</v>
      </c>
      <c r="E69" s="2">
        <v>40</v>
      </c>
      <c r="F69" s="1"/>
      <c r="G69" s="1"/>
      <c r="H69" s="1"/>
      <c r="I69" s="1"/>
      <c r="J69" s="1"/>
      <c r="K69" s="1"/>
    </row>
    <row r="70" spans="1:11" x14ac:dyDescent="0.2">
      <c r="A70" s="2">
        <v>20</v>
      </c>
      <c r="B70" s="1">
        <v>0.58399999999999996</v>
      </c>
      <c r="C70" s="2">
        <v>10</v>
      </c>
      <c r="D70" s="2">
        <v>0</v>
      </c>
      <c r="E70" s="2">
        <v>90</v>
      </c>
      <c r="F70" s="1"/>
      <c r="G70" s="1"/>
      <c r="H70" s="1"/>
      <c r="I70" s="1"/>
      <c r="J70" s="1"/>
      <c r="K70" s="1"/>
    </row>
    <row r="71" spans="1:11" x14ac:dyDescent="0.2">
      <c r="A71" s="2">
        <v>21</v>
      </c>
      <c r="B71" s="1">
        <v>0.6</v>
      </c>
      <c r="C71" s="2">
        <v>10</v>
      </c>
      <c r="D71" s="2">
        <v>0</v>
      </c>
      <c r="E71" s="2">
        <v>90</v>
      </c>
      <c r="F71" s="1"/>
      <c r="G71" s="1"/>
      <c r="H71" s="1"/>
      <c r="I71" s="1"/>
      <c r="J71" s="1"/>
      <c r="K71" s="1"/>
    </row>
  </sheetData>
  <mergeCells count="3">
    <mergeCell ref="C1:K1"/>
    <mergeCell ref="C25:E25"/>
    <mergeCell ref="C49:E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B1E3-AC72-8C4B-AD56-CB95C8A6482C}">
  <dimension ref="A1:O24"/>
  <sheetViews>
    <sheetView workbookViewId="0">
      <selection activeCell="I41" sqref="I41"/>
    </sheetView>
  </sheetViews>
  <sheetFormatPr baseColWidth="10" defaultRowHeight="16" x14ac:dyDescent="0.2"/>
  <sheetData>
    <row r="1" spans="1:15" x14ac:dyDescent="0.2">
      <c r="B1" t="s">
        <v>24</v>
      </c>
    </row>
    <row r="2" spans="1:15" x14ac:dyDescent="0.2">
      <c r="A2" t="s">
        <v>35</v>
      </c>
      <c r="B2" t="s">
        <v>20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23</v>
      </c>
      <c r="O2" t="s">
        <v>47</v>
      </c>
    </row>
    <row r="3" spans="1:15" x14ac:dyDescent="0.2">
      <c r="A3" t="s">
        <v>25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</row>
    <row r="4" spans="1:15" x14ac:dyDescent="0.2">
      <c r="A4" t="s">
        <v>26</v>
      </c>
      <c r="B4">
        <v>0</v>
      </c>
      <c r="C4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53</v>
      </c>
    </row>
    <row r="5" spans="1:15" x14ac:dyDescent="0.2">
      <c r="A5" t="s">
        <v>27</v>
      </c>
      <c r="B5">
        <v>0</v>
      </c>
      <c r="C5">
        <v>53</v>
      </c>
      <c r="D5">
        <v>34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87</v>
      </c>
    </row>
    <row r="6" spans="1:15" x14ac:dyDescent="0.2">
      <c r="A6" t="s">
        <v>28</v>
      </c>
      <c r="B6">
        <v>0</v>
      </c>
      <c r="C6">
        <v>62</v>
      </c>
      <c r="D6">
        <v>36</v>
      </c>
      <c r="E6">
        <v>76</v>
      </c>
      <c r="F6">
        <v>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219</v>
      </c>
    </row>
    <row r="7" spans="1:15" x14ac:dyDescent="0.2">
      <c r="A7" t="s">
        <v>29</v>
      </c>
      <c r="B7">
        <v>0</v>
      </c>
      <c r="C7">
        <v>57</v>
      </c>
      <c r="D7">
        <v>50</v>
      </c>
      <c r="E7">
        <v>52</v>
      </c>
      <c r="F7">
        <v>39</v>
      </c>
      <c r="G7">
        <v>22</v>
      </c>
      <c r="H7">
        <v>0</v>
      </c>
      <c r="I7">
        <v>17</v>
      </c>
      <c r="J7">
        <v>0</v>
      </c>
      <c r="K7">
        <v>0</v>
      </c>
      <c r="L7">
        <v>0</v>
      </c>
      <c r="M7">
        <v>0</v>
      </c>
      <c r="N7">
        <v>0</v>
      </c>
      <c r="O7">
        <v>237</v>
      </c>
    </row>
    <row r="8" spans="1:15" x14ac:dyDescent="0.2">
      <c r="A8" t="s">
        <v>30</v>
      </c>
      <c r="B8">
        <v>0</v>
      </c>
      <c r="C8">
        <v>69</v>
      </c>
      <c r="D8">
        <v>49</v>
      </c>
      <c r="E8">
        <v>54</v>
      </c>
      <c r="F8">
        <v>46</v>
      </c>
      <c r="G8">
        <v>38</v>
      </c>
      <c r="H8">
        <v>16</v>
      </c>
      <c r="I8">
        <v>15</v>
      </c>
      <c r="J8">
        <v>32</v>
      </c>
      <c r="K8">
        <v>0</v>
      </c>
      <c r="L8">
        <v>0</v>
      </c>
      <c r="M8">
        <v>0</v>
      </c>
      <c r="N8">
        <v>0</v>
      </c>
      <c r="O8">
        <v>319</v>
      </c>
    </row>
    <row r="9" spans="1:15" x14ac:dyDescent="0.2">
      <c r="A9" t="s">
        <v>31</v>
      </c>
      <c r="B9">
        <v>0</v>
      </c>
      <c r="C9">
        <v>0</v>
      </c>
      <c r="D9">
        <v>71</v>
      </c>
      <c r="E9">
        <v>54</v>
      </c>
      <c r="F9">
        <v>21</v>
      </c>
      <c r="G9">
        <v>36</v>
      </c>
      <c r="H9">
        <v>26</v>
      </c>
      <c r="I9">
        <v>17</v>
      </c>
      <c r="J9">
        <v>35</v>
      </c>
      <c r="K9">
        <v>0</v>
      </c>
      <c r="L9">
        <v>0</v>
      </c>
      <c r="M9">
        <v>0</v>
      </c>
      <c r="N9">
        <v>0</v>
      </c>
      <c r="O9">
        <v>260</v>
      </c>
    </row>
    <row r="10" spans="1:15" x14ac:dyDescent="0.2">
      <c r="A10" t="s">
        <v>32</v>
      </c>
      <c r="B10">
        <v>0</v>
      </c>
      <c r="C10">
        <v>0</v>
      </c>
      <c r="D10">
        <v>83</v>
      </c>
      <c r="E10">
        <v>56</v>
      </c>
      <c r="F10">
        <v>40</v>
      </c>
      <c r="G10">
        <v>58</v>
      </c>
      <c r="H10">
        <v>28</v>
      </c>
      <c r="I10">
        <v>12</v>
      </c>
      <c r="J10">
        <v>23</v>
      </c>
      <c r="K10">
        <v>17</v>
      </c>
      <c r="L10">
        <v>12</v>
      </c>
      <c r="M10">
        <v>0</v>
      </c>
      <c r="N10">
        <v>0</v>
      </c>
      <c r="O10">
        <v>329</v>
      </c>
    </row>
    <row r="11" spans="1:15" x14ac:dyDescent="0.2">
      <c r="A11" t="s">
        <v>33</v>
      </c>
      <c r="B11">
        <v>0</v>
      </c>
      <c r="C11">
        <v>0</v>
      </c>
      <c r="D11">
        <v>47</v>
      </c>
      <c r="E11">
        <v>59</v>
      </c>
      <c r="F11">
        <v>21</v>
      </c>
      <c r="G11">
        <v>58</v>
      </c>
      <c r="H11">
        <v>24</v>
      </c>
      <c r="I11">
        <v>12</v>
      </c>
      <c r="J11">
        <v>67</v>
      </c>
      <c r="K11">
        <v>11</v>
      </c>
      <c r="L11">
        <v>11</v>
      </c>
      <c r="M11">
        <v>0</v>
      </c>
      <c r="N11">
        <v>0</v>
      </c>
      <c r="O11">
        <v>310</v>
      </c>
    </row>
    <row r="15" spans="1:15" x14ac:dyDescent="0.2">
      <c r="A15" t="s">
        <v>35</v>
      </c>
      <c r="B15" t="s">
        <v>20</v>
      </c>
      <c r="C15" t="s">
        <v>36</v>
      </c>
      <c r="D15" t="s">
        <v>37</v>
      </c>
      <c r="E15" t="s">
        <v>38</v>
      </c>
      <c r="F15" t="s">
        <v>39</v>
      </c>
      <c r="G15" t="s">
        <v>40</v>
      </c>
      <c r="H15" t="s">
        <v>41</v>
      </c>
      <c r="I15" t="s">
        <v>42</v>
      </c>
      <c r="J15" t="s">
        <v>43</v>
      </c>
      <c r="K15" t="s">
        <v>44</v>
      </c>
      <c r="L15" t="s">
        <v>45</v>
      </c>
      <c r="M15" t="s">
        <v>46</v>
      </c>
      <c r="N15" t="s">
        <v>23</v>
      </c>
      <c r="O15" t="s">
        <v>47</v>
      </c>
    </row>
    <row r="16" spans="1:15" x14ac:dyDescent="0.2">
      <c r="A16" t="s">
        <v>25</v>
      </c>
      <c r="B16">
        <f>B3/$O3*100</f>
        <v>100</v>
      </c>
      <c r="C16">
        <f t="shared" ref="C16:N16" si="0">C3/$O3*100</f>
        <v>0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v>100</v>
      </c>
    </row>
    <row r="17" spans="1:15" x14ac:dyDescent="0.2">
      <c r="A17" t="s">
        <v>26</v>
      </c>
      <c r="B17">
        <f>B4/$O4*100</f>
        <v>0</v>
      </c>
      <c r="C17">
        <f t="shared" ref="C17:N17" si="1">C4/$O4*100</f>
        <v>100</v>
      </c>
      <c r="D17">
        <f t="shared" si="1"/>
        <v>0</v>
      </c>
      <c r="E17">
        <f t="shared" si="1"/>
        <v>0</v>
      </c>
      <c r="F17">
        <f t="shared" si="1"/>
        <v>0</v>
      </c>
      <c r="G17">
        <f t="shared" si="1"/>
        <v>0</v>
      </c>
      <c r="H17">
        <f t="shared" si="1"/>
        <v>0</v>
      </c>
      <c r="I17">
        <f t="shared" si="1"/>
        <v>0</v>
      </c>
      <c r="J17">
        <f t="shared" si="1"/>
        <v>0</v>
      </c>
      <c r="K17">
        <f t="shared" si="1"/>
        <v>0</v>
      </c>
      <c r="L17">
        <f t="shared" si="1"/>
        <v>0</v>
      </c>
      <c r="M17">
        <f t="shared" si="1"/>
        <v>0</v>
      </c>
      <c r="N17">
        <f t="shared" si="1"/>
        <v>0</v>
      </c>
      <c r="O17">
        <v>100</v>
      </c>
    </row>
    <row r="18" spans="1:15" x14ac:dyDescent="0.2">
      <c r="A18" t="s">
        <v>27</v>
      </c>
      <c r="B18" s="7">
        <f>B5/$O5*100</f>
        <v>0</v>
      </c>
      <c r="C18" s="7">
        <f t="shared" ref="C18:N18" si="2">C5/$O5*100</f>
        <v>60.919540229885058</v>
      </c>
      <c r="D18" s="7">
        <f t="shared" si="2"/>
        <v>39.080459770114942</v>
      </c>
      <c r="E18" s="7">
        <f t="shared" si="2"/>
        <v>0</v>
      </c>
      <c r="F18" s="7">
        <f t="shared" si="2"/>
        <v>0</v>
      </c>
      <c r="G18" s="7">
        <f t="shared" si="2"/>
        <v>0</v>
      </c>
      <c r="H18" s="7">
        <f t="shared" si="2"/>
        <v>0</v>
      </c>
      <c r="I18" s="7">
        <f t="shared" si="2"/>
        <v>0</v>
      </c>
      <c r="J18" s="7">
        <f t="shared" si="2"/>
        <v>0</v>
      </c>
      <c r="K18" s="7">
        <f t="shared" si="2"/>
        <v>0</v>
      </c>
      <c r="L18" s="7">
        <f t="shared" si="2"/>
        <v>0</v>
      </c>
      <c r="M18" s="7">
        <f t="shared" si="2"/>
        <v>0</v>
      </c>
      <c r="N18" s="7">
        <f t="shared" si="2"/>
        <v>0</v>
      </c>
      <c r="O18">
        <v>100</v>
      </c>
    </row>
    <row r="19" spans="1:15" x14ac:dyDescent="0.2">
      <c r="A19" t="s">
        <v>28</v>
      </c>
      <c r="B19" s="7">
        <f>B6/$O6*100</f>
        <v>0</v>
      </c>
      <c r="C19" s="7">
        <f t="shared" ref="C19:N19" si="3">C6/$O6*100</f>
        <v>28.31050228310502</v>
      </c>
      <c r="D19" s="7">
        <f t="shared" si="3"/>
        <v>16.43835616438356</v>
      </c>
      <c r="E19" s="7">
        <f t="shared" si="3"/>
        <v>34.703196347031962</v>
      </c>
      <c r="F19" s="7">
        <f t="shared" si="3"/>
        <v>20.547945205479451</v>
      </c>
      <c r="G19" s="7">
        <f t="shared" si="3"/>
        <v>0</v>
      </c>
      <c r="H19" s="7">
        <f t="shared" si="3"/>
        <v>0</v>
      </c>
      <c r="I19" s="7">
        <f t="shared" si="3"/>
        <v>0</v>
      </c>
      <c r="J19" s="7">
        <f t="shared" si="3"/>
        <v>0</v>
      </c>
      <c r="K19" s="7">
        <f t="shared" si="3"/>
        <v>0</v>
      </c>
      <c r="L19" s="7">
        <f t="shared" si="3"/>
        <v>0</v>
      </c>
      <c r="M19" s="7">
        <f t="shared" si="3"/>
        <v>0</v>
      </c>
      <c r="N19" s="7">
        <f t="shared" si="3"/>
        <v>0</v>
      </c>
      <c r="O19">
        <v>99.999999999999986</v>
      </c>
    </row>
    <row r="20" spans="1:15" x14ac:dyDescent="0.2">
      <c r="A20" t="s">
        <v>29</v>
      </c>
      <c r="B20" s="7">
        <f>B7/$O7*100</f>
        <v>0</v>
      </c>
      <c r="C20" s="7">
        <f t="shared" ref="C20:N20" si="4">C7/$O7*100</f>
        <v>24.050632911392405</v>
      </c>
      <c r="D20" s="7">
        <f t="shared" si="4"/>
        <v>21.09704641350211</v>
      </c>
      <c r="E20" s="7">
        <f t="shared" si="4"/>
        <v>21.940928270042196</v>
      </c>
      <c r="F20" s="7">
        <f t="shared" si="4"/>
        <v>16.455696202531644</v>
      </c>
      <c r="G20" s="7">
        <f t="shared" si="4"/>
        <v>9.2827004219409286</v>
      </c>
      <c r="H20" s="7">
        <f t="shared" si="4"/>
        <v>0</v>
      </c>
      <c r="I20" s="7">
        <f t="shared" si="4"/>
        <v>7.1729957805907167</v>
      </c>
      <c r="J20" s="7">
        <f t="shared" si="4"/>
        <v>0</v>
      </c>
      <c r="K20" s="7">
        <f t="shared" si="4"/>
        <v>0</v>
      </c>
      <c r="L20" s="7">
        <f t="shared" si="4"/>
        <v>0</v>
      </c>
      <c r="M20" s="7">
        <f t="shared" si="4"/>
        <v>0</v>
      </c>
      <c r="N20" s="7">
        <f t="shared" si="4"/>
        <v>0</v>
      </c>
      <c r="O20">
        <v>99.999999999999986</v>
      </c>
    </row>
    <row r="21" spans="1:15" x14ac:dyDescent="0.2">
      <c r="A21" t="s">
        <v>30</v>
      </c>
      <c r="B21" s="7">
        <f>B8/$O8*100</f>
        <v>0</v>
      </c>
      <c r="C21" s="7">
        <f t="shared" ref="C21:N21" si="5">C8/$O8*100</f>
        <v>21.630094043887148</v>
      </c>
      <c r="D21" s="7">
        <f t="shared" si="5"/>
        <v>15.360501567398119</v>
      </c>
      <c r="E21" s="7">
        <f t="shared" si="5"/>
        <v>16.927899686520377</v>
      </c>
      <c r="F21" s="7">
        <f t="shared" si="5"/>
        <v>14.420062695924765</v>
      </c>
      <c r="G21" s="7">
        <f t="shared" si="5"/>
        <v>11.912225705329153</v>
      </c>
      <c r="H21" s="7">
        <f t="shared" si="5"/>
        <v>5.0156739811912221</v>
      </c>
      <c r="I21" s="7">
        <f t="shared" si="5"/>
        <v>4.7021943573667713</v>
      </c>
      <c r="J21" s="7">
        <f t="shared" si="5"/>
        <v>10.031347962382444</v>
      </c>
      <c r="K21" s="7">
        <f t="shared" si="5"/>
        <v>0</v>
      </c>
      <c r="L21" s="7">
        <f t="shared" si="5"/>
        <v>0</v>
      </c>
      <c r="M21" s="7">
        <f t="shared" si="5"/>
        <v>0</v>
      </c>
      <c r="N21" s="7">
        <f t="shared" si="5"/>
        <v>0</v>
      </c>
      <c r="O21">
        <v>99.999999999999986</v>
      </c>
    </row>
    <row r="22" spans="1:15" x14ac:dyDescent="0.2">
      <c r="A22" t="s">
        <v>31</v>
      </c>
      <c r="B22" s="7">
        <f>B9/$O9*100</f>
        <v>0</v>
      </c>
      <c r="C22" s="7">
        <f t="shared" ref="C22:N22" si="6">C9/$O9*100</f>
        <v>0</v>
      </c>
      <c r="D22" s="7">
        <f t="shared" si="6"/>
        <v>27.307692307692307</v>
      </c>
      <c r="E22" s="7">
        <f t="shared" si="6"/>
        <v>20.76923076923077</v>
      </c>
      <c r="F22" s="7">
        <f t="shared" si="6"/>
        <v>8.0769230769230766</v>
      </c>
      <c r="G22" s="7">
        <f t="shared" si="6"/>
        <v>13.846153846153847</v>
      </c>
      <c r="H22" s="7">
        <f t="shared" si="6"/>
        <v>10</v>
      </c>
      <c r="I22" s="7">
        <f t="shared" si="6"/>
        <v>6.5384615384615392</v>
      </c>
      <c r="J22" s="7">
        <f t="shared" si="6"/>
        <v>13.461538461538462</v>
      </c>
      <c r="K22" s="7">
        <f t="shared" si="6"/>
        <v>0</v>
      </c>
      <c r="L22" s="7">
        <f t="shared" si="6"/>
        <v>0</v>
      </c>
      <c r="M22" s="7">
        <f t="shared" si="6"/>
        <v>0</v>
      </c>
      <c r="N22" s="7">
        <f t="shared" si="6"/>
        <v>0</v>
      </c>
      <c r="O22">
        <v>100</v>
      </c>
    </row>
    <row r="23" spans="1:15" x14ac:dyDescent="0.2">
      <c r="A23" t="s">
        <v>32</v>
      </c>
      <c r="B23" s="7">
        <f>B10/$O10*100</f>
        <v>0</v>
      </c>
      <c r="C23" s="7">
        <f t="shared" ref="C23:N23" si="7">C10/$O10*100</f>
        <v>0</v>
      </c>
      <c r="D23" s="7">
        <f t="shared" si="7"/>
        <v>25.227963525835868</v>
      </c>
      <c r="E23" s="7">
        <f t="shared" si="7"/>
        <v>17.021276595744681</v>
      </c>
      <c r="F23" s="7">
        <f t="shared" si="7"/>
        <v>12.158054711246201</v>
      </c>
      <c r="G23" s="7">
        <f t="shared" si="7"/>
        <v>17.62917933130699</v>
      </c>
      <c r="H23" s="7">
        <f t="shared" si="7"/>
        <v>8.5106382978723403</v>
      </c>
      <c r="I23" s="7">
        <f t="shared" si="7"/>
        <v>3.6474164133738598</v>
      </c>
      <c r="J23" s="7">
        <f t="shared" si="7"/>
        <v>6.9908814589665651</v>
      </c>
      <c r="K23" s="7">
        <f t="shared" si="7"/>
        <v>5.1671732522796354</v>
      </c>
      <c r="L23" s="7">
        <f t="shared" si="7"/>
        <v>3.6474164133738598</v>
      </c>
      <c r="M23" s="7">
        <f t="shared" si="7"/>
        <v>0</v>
      </c>
      <c r="N23" s="7">
        <f t="shared" si="7"/>
        <v>0</v>
      </c>
      <c r="O23">
        <v>100.00000000000001</v>
      </c>
    </row>
    <row r="24" spans="1:15" x14ac:dyDescent="0.2">
      <c r="A24" t="s">
        <v>33</v>
      </c>
      <c r="B24" s="7">
        <f>B11/$O11*100</f>
        <v>0</v>
      </c>
      <c r="C24" s="7">
        <f t="shared" ref="C24:N24" si="8">C11/$O11*100</f>
        <v>0</v>
      </c>
      <c r="D24" s="7">
        <f t="shared" si="8"/>
        <v>15.161290322580644</v>
      </c>
      <c r="E24" s="7">
        <f t="shared" si="8"/>
        <v>19.032258064516128</v>
      </c>
      <c r="F24" s="7">
        <f t="shared" si="8"/>
        <v>6.7741935483870979</v>
      </c>
      <c r="G24" s="7">
        <f t="shared" si="8"/>
        <v>18.70967741935484</v>
      </c>
      <c r="H24" s="7">
        <f t="shared" si="8"/>
        <v>7.741935483870968</v>
      </c>
      <c r="I24" s="7">
        <f t="shared" si="8"/>
        <v>3.870967741935484</v>
      </c>
      <c r="J24" s="7">
        <f t="shared" si="8"/>
        <v>21.612903225806452</v>
      </c>
      <c r="K24" s="7">
        <f t="shared" si="8"/>
        <v>3.5483870967741935</v>
      </c>
      <c r="L24" s="7">
        <f t="shared" si="8"/>
        <v>3.5483870967741935</v>
      </c>
      <c r="M24" s="7">
        <f t="shared" si="8"/>
        <v>0</v>
      </c>
      <c r="N24" s="7">
        <f t="shared" si="8"/>
        <v>0</v>
      </c>
      <c r="O24">
        <v>99.999999999999986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305F-3298-1549-802D-14F01D13C95C}">
  <dimension ref="A1:F56"/>
  <sheetViews>
    <sheetView tabSelected="1" workbookViewId="0">
      <selection activeCell="H44" sqref="H44"/>
    </sheetView>
  </sheetViews>
  <sheetFormatPr baseColWidth="10" defaultRowHeight="16" x14ac:dyDescent="0.2"/>
  <sheetData>
    <row r="1" spans="1:6" x14ac:dyDescent="0.2">
      <c r="A1" s="9" t="s">
        <v>56</v>
      </c>
      <c r="B1" s="9" t="s">
        <v>57</v>
      </c>
      <c r="C1" s="9" t="s">
        <v>20</v>
      </c>
      <c r="D1" s="9" t="s">
        <v>21</v>
      </c>
      <c r="E1" s="9" t="s">
        <v>58</v>
      </c>
      <c r="F1" s="9" t="s">
        <v>59</v>
      </c>
    </row>
    <row r="2" spans="1:6" x14ac:dyDescent="0.2">
      <c r="A2" s="9"/>
      <c r="B2" s="9"/>
      <c r="C2" s="10" t="s">
        <v>24</v>
      </c>
      <c r="D2" s="10"/>
      <c r="E2" s="10"/>
      <c r="F2" s="10"/>
    </row>
    <row r="3" spans="1:6" x14ac:dyDescent="0.2">
      <c r="A3" s="11" t="s">
        <v>60</v>
      </c>
      <c r="B3" s="9" t="s">
        <v>25</v>
      </c>
      <c r="C3" s="10"/>
      <c r="D3" s="10"/>
      <c r="E3" s="10"/>
      <c r="F3" s="10"/>
    </row>
    <row r="4" spans="1:6" x14ac:dyDescent="0.2">
      <c r="A4" s="11"/>
      <c r="B4" s="9" t="s">
        <v>26</v>
      </c>
      <c r="C4" s="10"/>
      <c r="D4" s="10"/>
      <c r="E4" s="10"/>
      <c r="F4" s="10"/>
    </row>
    <row r="5" spans="1:6" x14ac:dyDescent="0.2">
      <c r="A5" s="11"/>
      <c r="B5" s="9" t="s">
        <v>27</v>
      </c>
      <c r="C5" s="10"/>
      <c r="D5" s="10"/>
      <c r="E5" s="10"/>
      <c r="F5" s="10"/>
    </row>
    <row r="6" spans="1:6" x14ac:dyDescent="0.2">
      <c r="A6" s="11"/>
      <c r="B6" s="9" t="s">
        <v>28</v>
      </c>
      <c r="C6" s="10">
        <v>20</v>
      </c>
      <c r="D6" s="10">
        <v>0</v>
      </c>
      <c r="E6" s="10">
        <v>80</v>
      </c>
      <c r="F6" s="10">
        <v>0</v>
      </c>
    </row>
    <row r="7" spans="1:6" x14ac:dyDescent="0.2">
      <c r="A7" s="11"/>
      <c r="B7" s="9" t="s">
        <v>29</v>
      </c>
      <c r="C7" s="10">
        <v>16.666666666666668</v>
      </c>
      <c r="D7" s="10">
        <v>6.666666666666667</v>
      </c>
      <c r="E7" s="10">
        <v>76.666666666666671</v>
      </c>
      <c r="F7" s="10">
        <v>0</v>
      </c>
    </row>
    <row r="8" spans="1:6" x14ac:dyDescent="0.2">
      <c r="A8" s="11"/>
      <c r="B8" s="9" t="s">
        <v>30</v>
      </c>
      <c r="C8" s="10">
        <v>10</v>
      </c>
      <c r="D8" s="10">
        <v>20</v>
      </c>
      <c r="E8" s="10">
        <v>70</v>
      </c>
      <c r="F8" s="10">
        <v>0</v>
      </c>
    </row>
    <row r="9" spans="1:6" x14ac:dyDescent="0.2">
      <c r="A9" s="11"/>
      <c r="B9" s="9" t="s">
        <v>31</v>
      </c>
      <c r="C9" s="10">
        <v>10</v>
      </c>
      <c r="D9" s="10">
        <v>68.75</v>
      </c>
      <c r="E9" s="10">
        <v>21.25</v>
      </c>
      <c r="F9" s="10">
        <v>0</v>
      </c>
    </row>
    <row r="10" spans="1:6" x14ac:dyDescent="0.2">
      <c r="A10" s="11"/>
      <c r="B10" s="9" t="s">
        <v>32</v>
      </c>
      <c r="C10" s="10"/>
      <c r="D10" s="10"/>
      <c r="E10" s="10"/>
      <c r="F10" s="10"/>
    </row>
    <row r="11" spans="1:6" x14ac:dyDescent="0.2">
      <c r="A11" s="11"/>
      <c r="B11" s="9" t="s">
        <v>33</v>
      </c>
      <c r="C11" s="10"/>
      <c r="D11" s="10"/>
      <c r="E11" s="10"/>
      <c r="F11" s="10"/>
    </row>
    <row r="12" spans="1:6" x14ac:dyDescent="0.2">
      <c r="A12" s="11"/>
      <c r="B12" s="9" t="s">
        <v>34</v>
      </c>
      <c r="C12" s="10"/>
      <c r="D12" s="10"/>
      <c r="E12" s="10"/>
      <c r="F12" s="10"/>
    </row>
    <row r="13" spans="1:6" x14ac:dyDescent="0.2">
      <c r="A13" s="9"/>
      <c r="B13" s="9"/>
      <c r="C13" s="10"/>
      <c r="D13" s="10"/>
      <c r="E13" s="10"/>
      <c r="F13" s="10"/>
    </row>
    <row r="14" spans="1:6" x14ac:dyDescent="0.2">
      <c r="A14" s="11" t="s">
        <v>61</v>
      </c>
      <c r="B14" s="9" t="s">
        <v>25</v>
      </c>
      <c r="C14" s="10"/>
      <c r="D14" s="10"/>
      <c r="E14" s="10"/>
      <c r="F14" s="10"/>
    </row>
    <row r="15" spans="1:6" x14ac:dyDescent="0.2">
      <c r="A15" s="11"/>
      <c r="B15" s="9" t="s">
        <v>26</v>
      </c>
      <c r="C15" s="10">
        <v>0</v>
      </c>
      <c r="D15" s="10">
        <v>0</v>
      </c>
      <c r="E15" s="10">
        <v>100</v>
      </c>
      <c r="F15" s="10">
        <v>0</v>
      </c>
    </row>
    <row r="16" spans="1:6" x14ac:dyDescent="0.2">
      <c r="A16" s="11"/>
      <c r="B16" s="9" t="s">
        <v>27</v>
      </c>
      <c r="C16" s="10">
        <v>0</v>
      </c>
      <c r="D16" s="10">
        <v>0</v>
      </c>
      <c r="E16" s="10">
        <v>100</v>
      </c>
      <c r="F16" s="10">
        <v>0</v>
      </c>
    </row>
    <row r="17" spans="1:6" x14ac:dyDescent="0.2">
      <c r="A17" s="11"/>
      <c r="B17" s="9" t="s">
        <v>28</v>
      </c>
      <c r="C17" s="10">
        <v>0</v>
      </c>
      <c r="D17" s="10">
        <v>10</v>
      </c>
      <c r="E17" s="10">
        <v>90</v>
      </c>
      <c r="F17" s="10">
        <v>0</v>
      </c>
    </row>
    <row r="18" spans="1:6" x14ac:dyDescent="0.2">
      <c r="A18" s="11"/>
      <c r="B18" s="9" t="s">
        <v>29</v>
      </c>
      <c r="C18" s="10">
        <v>0</v>
      </c>
      <c r="D18" s="10">
        <v>100</v>
      </c>
      <c r="E18" s="10">
        <v>0</v>
      </c>
      <c r="F18" s="10">
        <v>0</v>
      </c>
    </row>
    <row r="19" spans="1:6" x14ac:dyDescent="0.2">
      <c r="A19" s="11"/>
      <c r="B19" s="9" t="s">
        <v>30</v>
      </c>
      <c r="C19" s="10">
        <v>0</v>
      </c>
      <c r="D19" s="10">
        <v>100</v>
      </c>
      <c r="E19" s="10">
        <v>0</v>
      </c>
      <c r="F19" s="10">
        <v>0</v>
      </c>
    </row>
    <row r="20" spans="1:6" x14ac:dyDescent="0.2">
      <c r="A20" s="11"/>
      <c r="B20" s="9" t="s">
        <v>31</v>
      </c>
      <c r="C20" s="10">
        <v>0</v>
      </c>
      <c r="D20" s="10">
        <v>100</v>
      </c>
      <c r="E20" s="10">
        <v>0</v>
      </c>
      <c r="F20" s="10">
        <v>0</v>
      </c>
    </row>
    <row r="21" spans="1:6" x14ac:dyDescent="0.2">
      <c r="A21" s="11"/>
      <c r="B21" s="9" t="s">
        <v>32</v>
      </c>
      <c r="C21" s="10"/>
      <c r="D21" s="10"/>
      <c r="E21" s="10"/>
      <c r="F21" s="10"/>
    </row>
    <row r="22" spans="1:6" x14ac:dyDescent="0.2">
      <c r="A22" s="11"/>
      <c r="B22" s="9" t="s">
        <v>33</v>
      </c>
      <c r="C22" s="10"/>
      <c r="D22" s="10"/>
      <c r="E22" s="10"/>
      <c r="F22" s="10"/>
    </row>
    <row r="23" spans="1:6" x14ac:dyDescent="0.2">
      <c r="A23" s="11"/>
      <c r="B23" s="9" t="s">
        <v>34</v>
      </c>
      <c r="C23" s="10"/>
      <c r="D23" s="10"/>
      <c r="E23" s="10"/>
      <c r="F23" s="10"/>
    </row>
    <row r="24" spans="1:6" x14ac:dyDescent="0.2">
      <c r="A24" s="9"/>
      <c r="B24" s="9"/>
      <c r="C24" s="10"/>
      <c r="D24" s="10"/>
      <c r="E24" s="10"/>
      <c r="F24" s="10"/>
    </row>
    <row r="25" spans="1:6" x14ac:dyDescent="0.2">
      <c r="A25" s="12" t="s">
        <v>62</v>
      </c>
      <c r="B25" s="9" t="s">
        <v>25</v>
      </c>
      <c r="C25" s="10"/>
      <c r="D25" s="10"/>
      <c r="E25" s="10"/>
      <c r="F25" s="10"/>
    </row>
    <row r="26" spans="1:6" x14ac:dyDescent="0.2">
      <c r="A26" s="12"/>
      <c r="B26" s="9" t="s">
        <v>26</v>
      </c>
      <c r="C26" s="10"/>
      <c r="D26" s="10"/>
      <c r="E26" s="10"/>
      <c r="F26" s="10"/>
    </row>
    <row r="27" spans="1:6" x14ac:dyDescent="0.2">
      <c r="A27" s="12"/>
      <c r="B27" s="9" t="s">
        <v>27</v>
      </c>
      <c r="C27" s="10"/>
      <c r="D27" s="10"/>
      <c r="E27" s="10"/>
      <c r="F27" s="10"/>
    </row>
    <row r="28" spans="1:6" x14ac:dyDescent="0.2">
      <c r="A28" s="12"/>
      <c r="B28" s="9" t="s">
        <v>28</v>
      </c>
      <c r="C28" s="10"/>
      <c r="D28" s="10"/>
      <c r="E28" s="10"/>
      <c r="F28" s="10"/>
    </row>
    <row r="29" spans="1:6" x14ac:dyDescent="0.2">
      <c r="A29" s="12"/>
      <c r="B29" s="9" t="s">
        <v>29</v>
      </c>
      <c r="C29" s="10"/>
      <c r="D29" s="10"/>
      <c r="E29" s="10"/>
      <c r="F29" s="10"/>
    </row>
    <row r="30" spans="1:6" x14ac:dyDescent="0.2">
      <c r="A30" s="12"/>
      <c r="B30" s="9" t="s">
        <v>30</v>
      </c>
      <c r="C30" s="10">
        <v>4.4444444444444446</v>
      </c>
      <c r="D30" s="10">
        <v>13.333333333333334</v>
      </c>
      <c r="E30" s="10">
        <v>82.222222222222229</v>
      </c>
      <c r="F30" s="10">
        <v>0</v>
      </c>
    </row>
    <row r="31" spans="1:6" x14ac:dyDescent="0.2">
      <c r="A31" s="12"/>
      <c r="B31" s="9" t="s">
        <v>31</v>
      </c>
      <c r="C31" s="10">
        <v>0</v>
      </c>
      <c r="D31" s="10">
        <v>20</v>
      </c>
      <c r="E31" s="10">
        <v>80</v>
      </c>
      <c r="F31" s="10">
        <v>0</v>
      </c>
    </row>
    <row r="32" spans="1:6" x14ac:dyDescent="0.2">
      <c r="A32" s="12"/>
      <c r="B32" s="9" t="s">
        <v>32</v>
      </c>
      <c r="C32" s="10"/>
      <c r="D32" s="10"/>
      <c r="E32" s="10"/>
      <c r="F32" s="10"/>
    </row>
    <row r="33" spans="1:6" x14ac:dyDescent="0.2">
      <c r="A33" s="12"/>
      <c r="B33" s="9" t="s">
        <v>33</v>
      </c>
      <c r="C33" s="10"/>
      <c r="D33" s="10"/>
      <c r="E33" s="10"/>
      <c r="F33" s="10"/>
    </row>
    <row r="34" spans="1:6" x14ac:dyDescent="0.2">
      <c r="A34" s="12"/>
      <c r="B34" s="9" t="s">
        <v>34</v>
      </c>
      <c r="C34" s="10"/>
      <c r="D34" s="10"/>
      <c r="E34" s="10"/>
      <c r="F34" s="10"/>
    </row>
    <row r="35" spans="1:6" x14ac:dyDescent="0.2">
      <c r="A35" s="9"/>
      <c r="B35" s="9"/>
      <c r="C35" s="9"/>
      <c r="D35" s="9"/>
      <c r="E35" s="9"/>
      <c r="F35" s="9"/>
    </row>
    <row r="36" spans="1:6" x14ac:dyDescent="0.2">
      <c r="A36" s="13" t="s">
        <v>63</v>
      </c>
      <c r="B36" s="9" t="s">
        <v>25</v>
      </c>
      <c r="C36" s="10">
        <f>SUM(C3,C14,C25)</f>
        <v>0</v>
      </c>
      <c r="D36" s="10">
        <f t="shared" ref="D36:F36" si="0">SUM(D3,D14,D25)</f>
        <v>0</v>
      </c>
      <c r="E36" s="10">
        <f t="shared" si="0"/>
        <v>0</v>
      </c>
      <c r="F36" s="10">
        <f t="shared" si="0"/>
        <v>0</v>
      </c>
    </row>
    <row r="37" spans="1:6" x14ac:dyDescent="0.2">
      <c r="A37" s="13"/>
      <c r="B37" s="9" t="s">
        <v>26</v>
      </c>
      <c r="C37" s="10">
        <f t="shared" ref="C37:F45" si="1">SUM(C4,C15,C26)</f>
        <v>0</v>
      </c>
      <c r="D37" s="10">
        <f>D15</f>
        <v>0</v>
      </c>
      <c r="E37" s="10">
        <f>E15</f>
        <v>100</v>
      </c>
      <c r="F37" s="10">
        <f t="shared" si="1"/>
        <v>0</v>
      </c>
    </row>
    <row r="38" spans="1:6" x14ac:dyDescent="0.2">
      <c r="A38" s="13"/>
      <c r="B38" s="9" t="s">
        <v>27</v>
      </c>
      <c r="C38" s="10">
        <f t="shared" si="1"/>
        <v>0</v>
      </c>
      <c r="D38" s="10">
        <f>D16</f>
        <v>0</v>
      </c>
      <c r="E38" s="10">
        <f>E16</f>
        <v>100</v>
      </c>
      <c r="F38" s="10">
        <f t="shared" si="1"/>
        <v>0</v>
      </c>
    </row>
    <row r="39" spans="1:6" x14ac:dyDescent="0.2">
      <c r="A39" s="13"/>
      <c r="B39" s="9" t="s">
        <v>28</v>
      </c>
      <c r="C39" s="10">
        <f t="shared" si="1"/>
        <v>20</v>
      </c>
      <c r="D39" s="10">
        <f>AVERAGE(D6,D17)</f>
        <v>5</v>
      </c>
      <c r="E39" s="10">
        <f>AVERAGE(E6,E17)</f>
        <v>85</v>
      </c>
      <c r="F39" s="10">
        <f t="shared" si="1"/>
        <v>0</v>
      </c>
    </row>
    <row r="40" spans="1:6" x14ac:dyDescent="0.2">
      <c r="A40" s="13"/>
      <c r="B40" s="9" t="s">
        <v>29</v>
      </c>
      <c r="C40" s="10">
        <f t="shared" si="1"/>
        <v>16.666666666666668</v>
      </c>
      <c r="D40" s="10">
        <f>AVERAGE(D7,D18)</f>
        <v>53.333333333333336</v>
      </c>
      <c r="E40" s="10">
        <f>AVERAGE(E7,E18)</f>
        <v>38.333333333333336</v>
      </c>
      <c r="F40" s="10">
        <f t="shared" si="1"/>
        <v>0</v>
      </c>
    </row>
    <row r="41" spans="1:6" x14ac:dyDescent="0.2">
      <c r="A41" s="13"/>
      <c r="B41" s="9" t="s">
        <v>30</v>
      </c>
      <c r="C41" s="10">
        <f t="shared" si="1"/>
        <v>14.444444444444445</v>
      </c>
      <c r="D41" s="10">
        <f>AVERAGE(D8,D19,D30)</f>
        <v>44.44444444444445</v>
      </c>
      <c r="E41" s="10">
        <f>AVERAGE(E8,E19,E30)</f>
        <v>50.74074074074074</v>
      </c>
      <c r="F41" s="10">
        <f t="shared" si="1"/>
        <v>0</v>
      </c>
    </row>
    <row r="42" spans="1:6" x14ac:dyDescent="0.2">
      <c r="A42" s="13"/>
      <c r="B42" s="9" t="s">
        <v>31</v>
      </c>
      <c r="C42" s="10">
        <f t="shared" si="1"/>
        <v>10</v>
      </c>
      <c r="D42" s="10">
        <f>AVERAGE(D9,D20,D31)</f>
        <v>62.916666666666664</v>
      </c>
      <c r="E42" s="10">
        <f>AVERAGE(E9,E20,E31)</f>
        <v>33.75</v>
      </c>
      <c r="F42" s="10">
        <f t="shared" si="1"/>
        <v>0</v>
      </c>
    </row>
    <row r="43" spans="1:6" x14ac:dyDescent="0.2">
      <c r="A43" s="13"/>
      <c r="B43" s="9" t="s">
        <v>32</v>
      </c>
      <c r="C43" s="10">
        <f t="shared" si="1"/>
        <v>0</v>
      </c>
      <c r="D43" s="10">
        <f t="shared" si="1"/>
        <v>0</v>
      </c>
      <c r="E43" s="10">
        <f t="shared" si="1"/>
        <v>0</v>
      </c>
      <c r="F43" s="10">
        <f t="shared" si="1"/>
        <v>0</v>
      </c>
    </row>
    <row r="44" spans="1:6" x14ac:dyDescent="0.2">
      <c r="A44" s="13"/>
      <c r="B44" s="9" t="s">
        <v>33</v>
      </c>
      <c r="C44" s="10">
        <f t="shared" si="1"/>
        <v>0</v>
      </c>
      <c r="D44" s="10">
        <f t="shared" si="1"/>
        <v>0</v>
      </c>
      <c r="E44" s="10">
        <f t="shared" si="1"/>
        <v>0</v>
      </c>
      <c r="F44" s="10">
        <f t="shared" si="1"/>
        <v>0</v>
      </c>
    </row>
    <row r="45" spans="1:6" x14ac:dyDescent="0.2">
      <c r="A45" s="13"/>
      <c r="B45" s="9" t="s">
        <v>34</v>
      </c>
      <c r="C45" s="10">
        <f t="shared" si="1"/>
        <v>0</v>
      </c>
      <c r="D45" s="10">
        <f t="shared" si="1"/>
        <v>0</v>
      </c>
      <c r="E45" s="10">
        <f t="shared" si="1"/>
        <v>0</v>
      </c>
      <c r="F45" s="10">
        <f t="shared" si="1"/>
        <v>0</v>
      </c>
    </row>
    <row r="47" spans="1:6" x14ac:dyDescent="0.2">
      <c r="A47" s="11">
        <v>1984</v>
      </c>
      <c r="B47" s="9" t="s">
        <v>25</v>
      </c>
      <c r="C47" s="9"/>
      <c r="D47" s="9"/>
      <c r="E47" s="10">
        <v>0</v>
      </c>
      <c r="F47" s="10">
        <v>0</v>
      </c>
    </row>
    <row r="48" spans="1:6" x14ac:dyDescent="0.2">
      <c r="A48" s="11"/>
      <c r="B48" s="9" t="s">
        <v>26</v>
      </c>
      <c r="C48" s="9"/>
      <c r="D48" s="9"/>
      <c r="E48" s="10">
        <v>100</v>
      </c>
      <c r="F48" s="10">
        <v>0</v>
      </c>
    </row>
    <row r="49" spans="1:6" x14ac:dyDescent="0.2">
      <c r="A49" s="11"/>
      <c r="B49" s="9" t="s">
        <v>27</v>
      </c>
      <c r="C49" s="9"/>
      <c r="D49" s="9"/>
      <c r="E49" s="10">
        <v>100</v>
      </c>
      <c r="F49" s="10">
        <v>0</v>
      </c>
    </row>
    <row r="50" spans="1:6" x14ac:dyDescent="0.2">
      <c r="A50" s="11"/>
      <c r="B50" s="9" t="s">
        <v>28</v>
      </c>
      <c r="C50" s="9"/>
      <c r="D50" s="9"/>
      <c r="E50" s="10">
        <v>44.74885844748858</v>
      </c>
      <c r="F50" s="10">
        <v>55.251141552511413</v>
      </c>
    </row>
    <row r="51" spans="1:6" x14ac:dyDescent="0.2">
      <c r="A51" s="11"/>
      <c r="B51" s="9" t="s">
        <v>29</v>
      </c>
      <c r="C51" s="9"/>
      <c r="D51" s="9"/>
      <c r="E51" s="10">
        <v>45.147679324894511</v>
      </c>
      <c r="F51" s="10">
        <v>54.852320675105489</v>
      </c>
    </row>
    <row r="52" spans="1:6" x14ac:dyDescent="0.2">
      <c r="A52" s="11"/>
      <c r="B52" s="9" t="s">
        <v>30</v>
      </c>
      <c r="C52" s="9"/>
      <c r="D52" s="9"/>
      <c r="E52" s="10">
        <v>36.990595611285265</v>
      </c>
      <c r="F52" s="10">
        <v>63.009404388714728</v>
      </c>
    </row>
    <row r="53" spans="1:6" x14ac:dyDescent="0.2">
      <c r="A53" s="11"/>
      <c r="B53" s="9" t="s">
        <v>31</v>
      </c>
      <c r="C53" s="9"/>
      <c r="D53" s="9"/>
      <c r="E53" s="10">
        <v>27.307692307692307</v>
      </c>
      <c r="F53" s="10">
        <v>72.692307692307693</v>
      </c>
    </row>
    <row r="54" spans="1:6" x14ac:dyDescent="0.2">
      <c r="A54" s="11"/>
      <c r="B54" s="9" t="s">
        <v>32</v>
      </c>
      <c r="C54" s="9"/>
      <c r="D54" s="9"/>
      <c r="E54" s="10">
        <v>25.227963525835868</v>
      </c>
      <c r="F54" s="10">
        <v>74.772036474164139</v>
      </c>
    </row>
    <row r="55" spans="1:6" x14ac:dyDescent="0.2">
      <c r="A55" s="11"/>
      <c r="B55" s="9" t="s">
        <v>33</v>
      </c>
      <c r="C55" s="9"/>
      <c r="D55" s="9"/>
      <c r="E55" s="10">
        <v>15.161290322580644</v>
      </c>
      <c r="F55" s="10">
        <v>84.838709677419345</v>
      </c>
    </row>
    <row r="56" spans="1:6" x14ac:dyDescent="0.2">
      <c r="A56" s="11"/>
      <c r="B56" s="9" t="s">
        <v>34</v>
      </c>
      <c r="C56" s="9"/>
      <c r="D56" s="9"/>
      <c r="E56" s="10">
        <v>0</v>
      </c>
      <c r="F56" s="10">
        <v>0</v>
      </c>
    </row>
  </sheetData>
  <mergeCells count="5">
    <mergeCell ref="A3:A12"/>
    <mergeCell ref="A14:A23"/>
    <mergeCell ref="A25:A34"/>
    <mergeCell ref="A36:A45"/>
    <mergeCell ref="A47:A5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annotations</vt:lpstr>
      <vt:lpstr>raw data measured in 2023</vt:lpstr>
      <vt:lpstr>digitized 1984 data </vt:lpstr>
      <vt:lpstr>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 Wang</dc:creator>
  <cp:lastModifiedBy>Yuyang Wang</cp:lastModifiedBy>
  <dcterms:created xsi:type="dcterms:W3CDTF">2025-09-12T19:33:06Z</dcterms:created>
  <dcterms:modified xsi:type="dcterms:W3CDTF">2025-09-12T20:06:55Z</dcterms:modified>
</cp:coreProperties>
</file>